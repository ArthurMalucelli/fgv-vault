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malucelli/FGV/Estatistica/27.04.26/"/>
    </mc:Choice>
  </mc:AlternateContent>
  <xr:revisionPtr revIDLastSave="0" documentId="13_ncr:1_{5908BFAC-664F-F242-8AE6-9231D0589F55}" xr6:coauthVersionLast="47" xr6:coauthVersionMax="47" xr10:uidLastSave="{00000000-0000-0000-0000-000000000000}"/>
  <bookViews>
    <workbookView xWindow="0" yWindow="660" windowWidth="30240" windowHeight="18980" xr2:uid="{0484DC83-F240-A44D-9283-39E6A1985C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2" i="1" l="1"/>
  <c r="D53" i="1"/>
  <c r="E50" i="1"/>
  <c r="D55" i="1" s="1"/>
  <c r="C43" i="1"/>
  <c r="D40" i="1"/>
  <c r="E40" i="1" s="1"/>
  <c r="D39" i="1"/>
  <c r="E39" i="1" s="1"/>
  <c r="D38" i="1"/>
  <c r="E38" i="1" s="1"/>
  <c r="D37" i="1"/>
  <c r="E37" i="1" s="1"/>
  <c r="D36" i="1"/>
  <c r="D35" i="1"/>
  <c r="E35" i="1" s="1"/>
  <c r="E36" i="1"/>
  <c r="D29" i="1"/>
  <c r="E27" i="1"/>
  <c r="C17" i="1"/>
  <c r="D11" i="1" s="1"/>
  <c r="D54" i="1" l="1"/>
  <c r="D60" i="1"/>
  <c r="D58" i="1"/>
  <c r="D57" i="1"/>
  <c r="D56" i="1"/>
  <c r="D59" i="1"/>
  <c r="E41" i="1"/>
  <c r="D13" i="1"/>
  <c r="D14" i="1"/>
  <c r="D12" i="1"/>
  <c r="E17" i="1" l="1"/>
</calcChain>
</file>

<file path=xl/sharedStrings.xml><?xml version="1.0" encoding="utf-8"?>
<sst xmlns="http://schemas.openxmlformats.org/spreadsheetml/2006/main" count="33" uniqueCount="32">
  <si>
    <t>STAT Exercicios</t>
  </si>
  <si>
    <t>Suponha que a demanda diaria por certa peca numa loja de autopecas siga o seguinte modelo</t>
  </si>
  <si>
    <t>P(X =k) = (a2ˆk)/(k!)</t>
  </si>
  <si>
    <t>K= 1,2,3,4</t>
  </si>
  <si>
    <t>a) Encontre o valor de A</t>
  </si>
  <si>
    <t>b) Calcule a demanda diaria esperada</t>
  </si>
  <si>
    <t>X</t>
  </si>
  <si>
    <t>K</t>
  </si>
  <si>
    <t>Soma:</t>
  </si>
  <si>
    <t>a =</t>
  </si>
  <si>
    <t>6a = 1</t>
  </si>
  <si>
    <t>K*a</t>
  </si>
  <si>
    <t>Demanda Diaria</t>
  </si>
  <si>
    <t>Joao e Maria pretendem ter 5 filhos. Gostariam de ter 3 filhos e 2 filhas ou 2 filhos e 3 filhas</t>
  </si>
  <si>
    <t>a) Qual a probabilidade de isso acontecer</t>
  </si>
  <si>
    <t>b) Determina a esperanca do numero de filhas para este casal</t>
  </si>
  <si>
    <t>c) Qual seria a probabilidade de Joao e Maria terem ao menos uma filha se decidirem ter 5 criancas?</t>
  </si>
  <si>
    <t>A)</t>
  </si>
  <si>
    <t>N de sequencias totais</t>
  </si>
  <si>
    <t>N de sequencias desejadas</t>
  </si>
  <si>
    <t xml:space="preserve">(5!)/(3!-2!)*2 = </t>
  </si>
  <si>
    <t>Prob =</t>
  </si>
  <si>
    <t>B)</t>
  </si>
  <si>
    <t>N de Filhas</t>
  </si>
  <si>
    <t>P(x)</t>
  </si>
  <si>
    <t>P(x)*x</t>
  </si>
  <si>
    <t>C)</t>
  </si>
  <si>
    <t>O consumo individual em um restaurante por kg segue uma distribuicao normal com media 0,7kg e desvio padrao 0,1kg.</t>
  </si>
  <si>
    <t>em uma mesa de 7 clientes, qual e a probabilidade de ao menos 3 clientes consumirem mais do que 0,8kg</t>
  </si>
  <si>
    <t>Prob de 1 comer mais doque 0,8 =</t>
  </si>
  <si>
    <t>Ao menos 3</t>
  </si>
  <si>
    <t>Prob X comer mais que 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</si>
</sst>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%"/>
    <numFmt numFmtId="169" formatCode="0.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0" fontId="0" fillId="0" borderId="0" xfId="1" applyNumberFormat="1" applyFont="1"/>
    <xf numFmtId="2" fontId="0" fillId="0" borderId="1" xfId="1" applyNumberFormat="1" applyFont="1" applyBorder="1"/>
    <xf numFmtId="10" fontId="0" fillId="0" borderId="1" xfId="1" applyNumberFormat="1" applyFont="1" applyBorder="1"/>
    <xf numFmtId="168" fontId="0" fillId="0" borderId="1" xfId="1" applyNumberFormat="1" applyFont="1" applyBorder="1"/>
    <xf numFmtId="2" fontId="2" fillId="2" borderId="1" xfId="0" applyNumberFormat="1" applyFont="1" applyFill="1" applyBorder="1"/>
    <xf numFmtId="169" fontId="0" fillId="0" borderId="1" xfId="0" applyNumberFormat="1" applyBorder="1"/>
    <xf numFmtId="168" fontId="2" fillId="2" borderId="1" xfId="1" applyNumberFormat="1" applyFont="1" applyFill="1" applyBorder="1"/>
    <xf numFmtId="0" fontId="0" fillId="0" borderId="0" xfId="0" applyBorder="1"/>
    <xf numFmtId="10" fontId="2" fillId="0" borderId="1" xfId="0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961-4777-684E-9E29-13D879D857CF}">
  <dimension ref="B2:I62"/>
  <sheetViews>
    <sheetView tabSelected="1" topLeftCell="A29" zoomScale="143" workbookViewId="0">
      <selection activeCell="B55" sqref="B55"/>
    </sheetView>
  </sheetViews>
  <sheetFormatPr baseColWidth="10" defaultRowHeight="16" x14ac:dyDescent="0.2"/>
  <cols>
    <col min="4" max="4" width="22.33203125" bestFit="1" customWidth="1"/>
    <col min="5" max="5" width="13.5" customWidth="1"/>
  </cols>
  <sheetData>
    <row r="2" spans="2:4" x14ac:dyDescent="0.2">
      <c r="B2" t="s">
        <v>0</v>
      </c>
    </row>
    <row r="3" spans="2:4" x14ac:dyDescent="0.2">
      <c r="B3" t="s">
        <v>1</v>
      </c>
    </row>
    <row r="4" spans="2:4" x14ac:dyDescent="0.2">
      <c r="B4" t="s">
        <v>2</v>
      </c>
    </row>
    <row r="5" spans="2:4" x14ac:dyDescent="0.2">
      <c r="B5" t="s">
        <v>3</v>
      </c>
    </row>
    <row r="7" spans="2:4" x14ac:dyDescent="0.2">
      <c r="B7" t="s">
        <v>4</v>
      </c>
    </row>
    <row r="8" spans="2:4" x14ac:dyDescent="0.2">
      <c r="B8" t="s">
        <v>5</v>
      </c>
    </row>
    <row r="10" spans="2:4" x14ac:dyDescent="0.2">
      <c r="B10" s="2" t="s">
        <v>6</v>
      </c>
      <c r="C10" s="2" t="s">
        <v>7</v>
      </c>
      <c r="D10" s="5" t="s">
        <v>11</v>
      </c>
    </row>
    <row r="11" spans="2:4" x14ac:dyDescent="0.2">
      <c r="B11" s="1">
        <v>1</v>
      </c>
      <c r="C11" s="4">
        <v>2</v>
      </c>
      <c r="D11" s="1">
        <f>C11*$C$17</f>
        <v>0.33333333333333331</v>
      </c>
    </row>
    <row r="12" spans="2:4" x14ac:dyDescent="0.2">
      <c r="B12" s="1">
        <v>2</v>
      </c>
      <c r="C12" s="4">
        <v>2</v>
      </c>
      <c r="D12" s="1">
        <f t="shared" ref="D12:D14" si="0">C12*$C$17</f>
        <v>0.33333333333333331</v>
      </c>
    </row>
    <row r="13" spans="2:4" x14ac:dyDescent="0.2">
      <c r="B13" s="1">
        <v>3</v>
      </c>
      <c r="C13" s="4">
        <v>1.3333333333333333</v>
      </c>
      <c r="D13" s="1">
        <f t="shared" si="0"/>
        <v>0.22222222222222221</v>
      </c>
    </row>
    <row r="14" spans="2:4" x14ac:dyDescent="0.2">
      <c r="B14" s="1">
        <v>4</v>
      </c>
      <c r="C14" s="4">
        <v>0.66666666666666663</v>
      </c>
      <c r="D14" s="1">
        <f t="shared" si="0"/>
        <v>0.1111111111111111</v>
      </c>
    </row>
    <row r="15" spans="2:4" x14ac:dyDescent="0.2">
      <c r="B15" s="1" t="s">
        <v>8</v>
      </c>
      <c r="C15" s="1">
        <v>6</v>
      </c>
    </row>
    <row r="16" spans="2:4" x14ac:dyDescent="0.2">
      <c r="B16" s="6" t="s">
        <v>10</v>
      </c>
      <c r="C16" s="7"/>
    </row>
    <row r="17" spans="2:7" x14ac:dyDescent="0.2">
      <c r="B17" s="3" t="s">
        <v>9</v>
      </c>
      <c r="C17" s="1">
        <f>1/6</f>
        <v>0.16666666666666666</v>
      </c>
      <c r="D17" s="1" t="s">
        <v>12</v>
      </c>
      <c r="E17" s="1">
        <f>((B11*D11)+(B12*D12)+(B13*D13+(B14*D14)))</f>
        <v>2.1111111111111112</v>
      </c>
    </row>
    <row r="19" spans="2:7" x14ac:dyDescent="0.2">
      <c r="B19" t="s">
        <v>13</v>
      </c>
    </row>
    <row r="21" spans="2:7" x14ac:dyDescent="0.2">
      <c r="B21" t="s">
        <v>14</v>
      </c>
    </row>
    <row r="22" spans="2:7" x14ac:dyDescent="0.2">
      <c r="B22" t="s">
        <v>15</v>
      </c>
    </row>
    <row r="23" spans="2:7" x14ac:dyDescent="0.2">
      <c r="B23" t="s">
        <v>16</v>
      </c>
    </row>
    <row r="26" spans="2:7" x14ac:dyDescent="0.2">
      <c r="B26" t="s">
        <v>17</v>
      </c>
    </row>
    <row r="27" spans="2:7" x14ac:dyDescent="0.2">
      <c r="C27" s="9" t="s">
        <v>18</v>
      </c>
      <c r="D27" s="9"/>
      <c r="E27">
        <f>2^5</f>
        <v>32</v>
      </c>
    </row>
    <row r="28" spans="2:7" x14ac:dyDescent="0.2">
      <c r="C28" s="8" t="s">
        <v>19</v>
      </c>
      <c r="D28" s="8"/>
      <c r="E28" s="8" t="s">
        <v>20</v>
      </c>
      <c r="F28" s="8">
        <v>20</v>
      </c>
      <c r="G28" s="8"/>
    </row>
    <row r="29" spans="2:7" x14ac:dyDescent="0.2">
      <c r="C29" s="8" t="s">
        <v>21</v>
      </c>
      <c r="D29" s="10">
        <f>20/32</f>
        <v>0.625</v>
      </c>
      <c r="E29" s="8"/>
      <c r="F29" s="8"/>
      <c r="G29" s="8"/>
    </row>
    <row r="30" spans="2:7" x14ac:dyDescent="0.2">
      <c r="C30" s="8"/>
      <c r="D30" s="8"/>
      <c r="E30" s="8"/>
      <c r="F30" s="8"/>
      <c r="G30" s="8"/>
    </row>
    <row r="31" spans="2:7" x14ac:dyDescent="0.2">
      <c r="C31" s="8"/>
      <c r="D31" s="10"/>
      <c r="E31" s="8"/>
      <c r="F31" s="8"/>
      <c r="G31" s="8"/>
    </row>
    <row r="32" spans="2:7" x14ac:dyDescent="0.2">
      <c r="C32" s="8"/>
      <c r="D32" s="8"/>
      <c r="E32" s="8"/>
      <c r="F32" s="8"/>
      <c r="G32" s="8"/>
    </row>
    <row r="33" spans="2:9" x14ac:dyDescent="0.2">
      <c r="B33" t="s">
        <v>22</v>
      </c>
      <c r="C33" s="8"/>
      <c r="D33" s="8"/>
      <c r="E33" s="8"/>
      <c r="F33" s="8"/>
      <c r="G33" s="8"/>
    </row>
    <row r="34" spans="2:9" x14ac:dyDescent="0.2">
      <c r="C34" s="4" t="s">
        <v>23</v>
      </c>
      <c r="D34" s="4" t="s">
        <v>24</v>
      </c>
      <c r="E34" s="4" t="s">
        <v>25</v>
      </c>
      <c r="F34" s="8"/>
      <c r="G34" s="8"/>
    </row>
    <row r="35" spans="2:9" x14ac:dyDescent="0.2">
      <c r="C35" s="11">
        <v>0</v>
      </c>
      <c r="D35" s="13">
        <f>_xlfn.BINOM.DIST(C35,5,1/2,FALSE)</f>
        <v>3.125E-2</v>
      </c>
      <c r="E35" s="15">
        <f>D35*C35</f>
        <v>0</v>
      </c>
      <c r="F35" s="8"/>
      <c r="G35" s="8"/>
    </row>
    <row r="36" spans="2:9" x14ac:dyDescent="0.2">
      <c r="C36" s="4">
        <v>1</v>
      </c>
      <c r="D36" s="13">
        <f>_xlfn.BINOM.DIST(C36,5,1/2,FALSE)</f>
        <v>0.15624999999999992</v>
      </c>
      <c r="E36" s="15">
        <f t="shared" ref="E36:E40" si="1">D36*C36</f>
        <v>0.15624999999999992</v>
      </c>
      <c r="F36" s="8"/>
      <c r="G36" s="8"/>
    </row>
    <row r="37" spans="2:9" x14ac:dyDescent="0.2">
      <c r="C37" s="4">
        <v>2</v>
      </c>
      <c r="D37" s="13">
        <f>_xlfn.BINOM.DIST(C37,5,1/2,FALSE)</f>
        <v>0.3125</v>
      </c>
      <c r="E37" s="15">
        <f t="shared" si="1"/>
        <v>0.625</v>
      </c>
      <c r="F37" s="8"/>
      <c r="G37" s="8"/>
    </row>
    <row r="38" spans="2:9" x14ac:dyDescent="0.2">
      <c r="C38" s="4">
        <v>3</v>
      </c>
      <c r="D38" s="13">
        <f>_xlfn.BINOM.DIST(C38,5,1/2,FALSE)</f>
        <v>0.3125</v>
      </c>
      <c r="E38" s="15">
        <f t="shared" si="1"/>
        <v>0.9375</v>
      </c>
      <c r="F38" s="8"/>
      <c r="G38" s="8"/>
    </row>
    <row r="39" spans="2:9" x14ac:dyDescent="0.2">
      <c r="C39" s="4">
        <v>4</v>
      </c>
      <c r="D39" s="13">
        <f>_xlfn.BINOM.DIST(C39,5,1/2,FALSE)</f>
        <v>0.15624999999999992</v>
      </c>
      <c r="E39" s="15">
        <f t="shared" si="1"/>
        <v>0.62499999999999967</v>
      </c>
    </row>
    <row r="40" spans="2:9" x14ac:dyDescent="0.2">
      <c r="C40" s="4">
        <v>5</v>
      </c>
      <c r="D40" s="13">
        <f>_xlfn.BINOM.DIST(C40,5,1/2,FALSE)</f>
        <v>3.125E-2</v>
      </c>
      <c r="E40" s="15">
        <f t="shared" si="1"/>
        <v>0.15625</v>
      </c>
    </row>
    <row r="41" spans="2:9" x14ac:dyDescent="0.2">
      <c r="D41" s="8"/>
      <c r="E41" s="14">
        <f>SUM(E35:E40)</f>
        <v>2.4999999999999996</v>
      </c>
    </row>
    <row r="43" spans="2:9" x14ac:dyDescent="0.2">
      <c r="B43" t="s">
        <v>26</v>
      </c>
      <c r="C43" s="16">
        <f>1-_xlfn.BINOM.DIST(0,5,1/2,FALSE)</f>
        <v>0.96875</v>
      </c>
    </row>
    <row r="47" spans="2:9" x14ac:dyDescent="0.2">
      <c r="B47" s="17" t="s">
        <v>27</v>
      </c>
      <c r="C47" s="17"/>
      <c r="D47" s="17"/>
      <c r="E47" s="17"/>
      <c r="F47" s="17"/>
      <c r="G47" s="17"/>
      <c r="H47" s="17"/>
      <c r="I47" s="17"/>
    </row>
    <row r="48" spans="2:9" x14ac:dyDescent="0.2">
      <c r="B48" s="17" t="s">
        <v>28</v>
      </c>
      <c r="C48" s="17"/>
      <c r="D48" s="17"/>
      <c r="E48" s="17"/>
      <c r="F48" s="17"/>
      <c r="G48" s="17"/>
      <c r="H48" s="17"/>
      <c r="I48" s="17"/>
    </row>
    <row r="50" spans="2:5" x14ac:dyDescent="0.2">
      <c r="B50" t="s">
        <v>29</v>
      </c>
      <c r="E50" s="10">
        <f>((0.8-0.7)/0.1)-0.8413</f>
        <v>0.15870000000000084</v>
      </c>
    </row>
    <row r="51" spans="2:5" x14ac:dyDescent="0.2">
      <c r="E51" s="10"/>
    </row>
    <row r="52" spans="2:5" x14ac:dyDescent="0.2">
      <c r="C52" s="5" t="s">
        <v>6</v>
      </c>
      <c r="D52" s="5" t="s">
        <v>31</v>
      </c>
    </row>
    <row r="53" spans="2:5" x14ac:dyDescent="0.2">
      <c r="C53" s="1">
        <v>0</v>
      </c>
      <c r="D53" s="12">
        <f>_xlfn.BINOM.DIST(C53,7,$E$50,FALSE)</f>
        <v>0.29830203933010135</v>
      </c>
    </row>
    <row r="54" spans="2:5" x14ac:dyDescent="0.2">
      <c r="C54" s="1">
        <v>1</v>
      </c>
      <c r="D54" s="12">
        <f>_xlfn.BINOM.DIST(C54,7,$E$50,FALSE)</f>
        <v>0.39389484784477791</v>
      </c>
    </row>
    <row r="55" spans="2:5" x14ac:dyDescent="0.2">
      <c r="C55" s="1">
        <v>2</v>
      </c>
      <c r="D55" s="12">
        <f t="shared" ref="D55:D60" si="2">_xlfn.BINOM.DIST(C55,7,$E$50,FALSE)</f>
        <v>0.2229089944834185</v>
      </c>
    </row>
    <row r="56" spans="2:5" x14ac:dyDescent="0.2">
      <c r="C56" s="1">
        <v>3</v>
      </c>
      <c r="D56" s="12">
        <f t="shared" si="2"/>
        <v>7.0081337264786103E-2</v>
      </c>
    </row>
    <row r="57" spans="2:5" x14ac:dyDescent="0.2">
      <c r="C57" s="1">
        <v>4</v>
      </c>
      <c r="D57" s="12">
        <f t="shared" si="2"/>
        <v>1.3219907552504011E-2</v>
      </c>
    </row>
    <row r="58" spans="2:5" x14ac:dyDescent="0.2">
      <c r="C58" s="1">
        <v>5</v>
      </c>
      <c r="D58" s="12">
        <f t="shared" si="2"/>
        <v>1.4962553157606563E-3</v>
      </c>
    </row>
    <row r="59" spans="2:5" x14ac:dyDescent="0.2">
      <c r="C59" s="1">
        <v>6</v>
      </c>
      <c r="D59" s="12">
        <f t="shared" si="2"/>
        <v>9.4082855347366162E-5</v>
      </c>
    </row>
    <row r="60" spans="2:5" x14ac:dyDescent="0.2">
      <c r="C60" s="1">
        <v>7</v>
      </c>
      <c r="D60" s="12">
        <f t="shared" si="2"/>
        <v>2.5353533041767156E-6</v>
      </c>
    </row>
    <row r="62" spans="2:5" x14ac:dyDescent="0.2">
      <c r="C62" s="5" t="s">
        <v>30</v>
      </c>
      <c r="D62" s="18">
        <f>1-(SUM(D53:D55))</f>
        <v>8.489411834170224E-2</v>
      </c>
    </row>
  </sheetData>
  <mergeCells count="2">
    <mergeCell ref="B16:C16"/>
    <mergeCell ref="C27:D2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Malucelli</dc:creator>
  <cp:lastModifiedBy>Arthur Malucelli</cp:lastModifiedBy>
  <dcterms:created xsi:type="dcterms:W3CDTF">2026-04-27T14:17:29Z</dcterms:created>
  <dcterms:modified xsi:type="dcterms:W3CDTF">2026-04-27T18:03:19Z</dcterms:modified>
</cp:coreProperties>
</file>