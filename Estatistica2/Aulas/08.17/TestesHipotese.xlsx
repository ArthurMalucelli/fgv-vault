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a" sheetId="1" state="visible" r:id="rId3"/>
    <sheet name="1_Z_Media" sheetId="2" state="visible" r:id="rId4"/>
    <sheet name="2_T_Media" sheetId="3" state="visible" r:id="rId5"/>
    <sheet name="3_Pareado" sheetId="4" state="visible" r:id="rId6"/>
    <sheet name="4_Welch" sheetId="5" state="visible" r:id="rId7"/>
    <sheet name="5_Proporcao" sheetId="6" state="visible" r:id="rId8"/>
    <sheet name="6_Qui_Aderencia" sheetId="7" state="visible" r:id="rId9"/>
    <sheet name="7_Qui_Independencia" sheetId="8" state="visible" r:id="rId10"/>
    <sheet name="Exercicio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<sst xmlns="http://schemas.openxmlformats.org/spreadsheetml/2006/main" count="343" uniqueCount="265">
  <si>
    <t xml:space="preserve">Mapa de funções: Excel (EN / PT) x R</t>
  </si>
  <si>
    <t xml:space="preserve">Azul = input (pode mudar e ver a decisão virar). Preto = fórmula. Sintaxe EN usa vírgula entre argumentos; Excel em português usa ponto e vírgula.</t>
  </si>
  <si>
    <t xml:space="preserve">Objetivo</t>
  </si>
  <si>
    <t xml:space="preserve">Excel (EN)</t>
  </si>
  <si>
    <t xml:space="preserve">Excel (PT)</t>
  </si>
  <si>
    <t xml:space="preserve">R</t>
  </si>
  <si>
    <t xml:space="preserve">Devolve</t>
  </si>
  <si>
    <t xml:space="preserve">Quando usar / observação</t>
  </si>
  <si>
    <t xml:space="preserve">Tamanho da amostra n</t>
  </si>
  <si>
    <t xml:space="preserve">COUNT(range)</t>
  </si>
  <si>
    <t xml:space="preserve">CONT.NÚM(intervalo)</t>
  </si>
  <si>
    <t xml:space="preserve">length(x)</t>
  </si>
  <si>
    <t xml:space="preserve">n</t>
  </si>
  <si>
    <t xml:space="preserve">Média amostral</t>
  </si>
  <si>
    <t xml:space="preserve">AVERAGE(range)</t>
  </si>
  <si>
    <t xml:space="preserve">MÉDIA(intervalo)</t>
  </si>
  <si>
    <t xml:space="preserve">mean(x)</t>
  </si>
  <si>
    <t xml:space="preserve">x̄</t>
  </si>
  <si>
    <t xml:space="preserve">Desvio-padrão amostral s</t>
  </si>
  <si>
    <t xml:space="preserve">STDEV.S(range)</t>
  </si>
  <si>
    <t xml:space="preserve">DESVPAD.A(intervalo)</t>
  </si>
  <si>
    <t xml:space="preserve">sd(x)</t>
  </si>
  <si>
    <t xml:space="preserve">s (divide por n-1)</t>
  </si>
  <si>
    <t xml:space="preserve">STDEV.P divide por n: errado pra amostra</t>
  </si>
  <si>
    <t xml:space="preserve">Raiz e valor absoluto</t>
  </si>
  <si>
    <t xml:space="preserve">SQRT(x), ABS(x)</t>
  </si>
  <si>
    <t xml:space="preserve">RAIZ(x), ABS(x)</t>
  </si>
  <si>
    <t xml:space="preserve">sqrt(x), abs(x)</t>
  </si>
  <si>
    <t xml:space="preserve">Z crítico unicaudal</t>
  </si>
  <si>
    <t xml:space="preserve">NORM.S.INV(1-α)</t>
  </si>
  <si>
    <t xml:space="preserve">INV.NORMP.N(1-α)</t>
  </si>
  <si>
    <t xml:space="preserve">qnorm(1-alpha)</t>
  </si>
  <si>
    <t xml:space="preserve">1,645 pra 5%</t>
  </si>
  <si>
    <t xml:space="preserve">cauda esquerda: NORM.S.INV(α) = -1,645</t>
  </si>
  <si>
    <t xml:space="preserve">Z crítico bicaudal</t>
  </si>
  <si>
    <t xml:space="preserve">NORM.S.INV(1-α/2)</t>
  </si>
  <si>
    <t xml:space="preserve">INV.NORMP.N(1-α/2)</t>
  </si>
  <si>
    <t xml:space="preserve">qnorm(1-alpha/2)</t>
  </si>
  <si>
    <t xml:space="preserve">1,960 pra 5%</t>
  </si>
  <si>
    <t xml:space="preserve">α/2 em cada cauda</t>
  </si>
  <si>
    <t xml:space="preserve">valor-p Z, cauda direita</t>
  </si>
  <si>
    <t xml:space="preserve">1-NORM.S.DIST(z,TRUE)</t>
  </si>
  <si>
    <t xml:space="preserve">1-DIST.NORMP.N(z;VERDADEIRO)</t>
  </si>
  <si>
    <t xml:space="preserve">1-pnorm(z)</t>
  </si>
  <si>
    <t xml:space="preserve">área à direita de z</t>
  </si>
  <si>
    <t xml:space="preserve">cauda esquerda: NORM.S.DIST(z,TRUE)</t>
  </si>
  <si>
    <t xml:space="preserve">valor-p Z, bicaudal</t>
  </si>
  <si>
    <t xml:space="preserve">2*(1-NORM.S.DIST(ABS(z),TRUE))</t>
  </si>
  <si>
    <t xml:space="preserve">2*(1-DIST.NORMP.N(ABS(z);VERDADEIRO))</t>
  </si>
  <si>
    <t xml:space="preserve">2*(1-pnorm(abs(z)))</t>
  </si>
  <si>
    <t xml:space="preserve">dobro da cauda</t>
  </si>
  <si>
    <t xml:space="preserve">t crítico unicaudal direita</t>
  </si>
  <si>
    <t xml:space="preserve">T.INV(1-α,gl)</t>
  </si>
  <si>
    <t xml:space="preserve">INV.T(1-α;gl)</t>
  </si>
  <si>
    <t xml:space="preserve">qt(1-alpha,gl)</t>
  </si>
  <si>
    <t xml:space="preserve">ex. 1,729 (gl 19)</t>
  </si>
  <si>
    <t xml:space="preserve">T.INV(α,gl) dá o da esquerda (negativo)</t>
  </si>
  <si>
    <t xml:space="preserve">t crítico bicaudal</t>
  </si>
  <si>
    <t xml:space="preserve">T.INV.2T(α,gl)</t>
  </si>
  <si>
    <t xml:space="preserve">INV.T.BC(α;gl)</t>
  </si>
  <si>
    <t xml:space="preserve">qt(1-alpha/2,gl)</t>
  </si>
  <si>
    <t xml:space="preserve">ex. 2,093 (gl 19)</t>
  </si>
  <si>
    <t xml:space="preserve">entra α inteiro, a função divide</t>
  </si>
  <si>
    <t xml:space="preserve">valor-p t, cauda direita</t>
  </si>
  <si>
    <t xml:space="preserve">T.DIST.RT(t,gl)</t>
  </si>
  <si>
    <t xml:space="preserve">DIST.T.CD(t;gl)</t>
  </si>
  <si>
    <t xml:space="preserve">pt(t,gl,lower.tail=FALSE)</t>
  </si>
  <si>
    <t xml:space="preserve">área à direita</t>
  </si>
  <si>
    <t xml:space="preserve">valor-p t, cauda esquerda</t>
  </si>
  <si>
    <t xml:space="preserve">T.DIST(t,gl,TRUE)</t>
  </si>
  <si>
    <t xml:space="preserve">DIST.T(t;gl;VERDADEIRO)</t>
  </si>
  <si>
    <t xml:space="preserve">pt(t,gl)</t>
  </si>
  <si>
    <t xml:space="preserve">área à esquerda</t>
  </si>
  <si>
    <t xml:space="preserve">valor-p t, bicaudal</t>
  </si>
  <si>
    <t xml:space="preserve">T.DIST.2T(ABS(t),gl)</t>
  </si>
  <si>
    <t xml:space="preserve">DIST.T.BC(ABS(t);gl)</t>
  </si>
  <si>
    <t xml:space="preserve">2*pt(-abs(t),gl)</t>
  </si>
  <si>
    <t xml:space="preserve">T.DIST.2T exige t &gt;= 0: use ABS</t>
  </si>
  <si>
    <t xml:space="preserve">Qui-quadrado crítico</t>
  </si>
  <si>
    <t xml:space="preserve">CHISQ.INV.RT(α,gl)</t>
  </si>
  <si>
    <t xml:space="preserve">INV.QUIQUA.CD(α;gl)</t>
  </si>
  <si>
    <t xml:space="preserve">qchisq(1-alpha,gl)</t>
  </si>
  <si>
    <t xml:space="preserve">ex. 5,991 (gl 2)</t>
  </si>
  <si>
    <t xml:space="preserve">sempre cauda direita</t>
  </si>
  <si>
    <t xml:space="preserve">valor-p qui-quadrado</t>
  </si>
  <si>
    <t xml:space="preserve">CHISQ.DIST.RT(x2,gl)</t>
  </si>
  <si>
    <t xml:space="preserve">DIST.QUIQUA.CD(x2;gl)</t>
  </si>
  <si>
    <t xml:space="preserve">pchisq(x2,gl,lower.tail=FALSE)</t>
  </si>
  <si>
    <t xml:space="preserve">Atalho: t pareado</t>
  </si>
  <si>
    <t xml:space="preserve">T.TEST(dep,ant,caudas,1)</t>
  </si>
  <si>
    <t xml:space="preserve">TESTE.T(dep;ant;caudas;1)</t>
  </si>
  <si>
    <t xml:space="preserve">t.test(dep,ant,paired=TRUE)</t>
  </si>
  <si>
    <t xml:space="preserve">só o valor-p</t>
  </si>
  <si>
    <t xml:space="preserve">caudas=1 devolve a cauda do |t|, não sabe a direção de H1</t>
  </si>
  <si>
    <t xml:space="preserve">Atalho: t duas amostras (Welch)</t>
  </si>
  <si>
    <t xml:space="preserve">T.TEST(A,B,2,3)</t>
  </si>
  <si>
    <t xml:space="preserve">TESTE.T(A;B;2;3)</t>
  </si>
  <si>
    <t xml:space="preserve">t.test(A,B)</t>
  </si>
  <si>
    <t xml:space="preserve">tipo 3 = variâncias diferentes; tipo 2 = iguais</t>
  </si>
  <si>
    <t xml:space="preserve">Atalho: Z uma média</t>
  </si>
  <si>
    <t xml:space="preserve">Z.TEST(range,μ0,σ)</t>
  </si>
  <si>
    <t xml:space="preserve">TESTE.Z(intervalo;μ0;σ)</t>
  </si>
  <si>
    <t xml:space="preserve">(na mão)</t>
  </si>
  <si>
    <t xml:space="preserve">valor-p da cauda superior</t>
  </si>
  <si>
    <t xml:space="preserve">cauda inferior: 1-Z.TEST; bicaudal: 2*MIN(Z.TEST,1-Z.TEST)</t>
  </si>
  <si>
    <t xml:space="preserve">Atalho: qui-quadrado</t>
  </si>
  <si>
    <t xml:space="preserve">CHISQ.TEST(obs,esp)</t>
  </si>
  <si>
    <t xml:space="preserve">TESTE.QUIQUA(obs;esp)</t>
  </si>
  <si>
    <t xml:space="preserve">chisq.test(x=obs,p=p) / chisq.test(tab)</t>
  </si>
  <si>
    <t xml:space="preserve">esperadas você calcula; a estatística não sai da função</t>
  </si>
  <si>
    <t xml:space="preserve">Proporção: função pronta</t>
  </si>
  <si>
    <t xml:space="preserve">prop.test(x,n,p=p0,alternative=,correct=FALSE)</t>
  </si>
  <si>
    <t xml:space="preserve">X-squared = z², mesmo valor-p</t>
  </si>
  <si>
    <t xml:space="preserve">default correct=TRUE muda o valor-p</t>
  </si>
  <si>
    <t xml:space="preserve">1. Z para uma média, σ conhecido: vendas diárias (meta R$ 500)</t>
  </si>
  <si>
    <t xml:space="preserve">Azul = input (pode mudar e ver a decisão virar). Preto = fórmula. Amostra de 36 dias, média 520, σ populacional 30. 'As vendas aumentaram?'</t>
  </si>
  <si>
    <t xml:space="preserve">1. H0</t>
  </si>
  <si>
    <t xml:space="preserve">μ ≤ 500</t>
  </si>
  <si>
    <t xml:space="preserve">1. H1</t>
  </si>
  <si>
    <t xml:space="preserve">μ &gt; 500  (unicaudal à direita)</t>
  </si>
  <si>
    <t xml:space="preserve">2. α</t>
  </si>
  <si>
    <t xml:space="preserve">μ0 (H0)</t>
  </si>
  <si>
    <t xml:space="preserve">σ populacional (dado)</t>
  </si>
  <si>
    <t xml:space="preserve">x̄ (média amostral)</t>
  </si>
  <si>
    <t xml:space="preserve">3. Erro-padrão σ/√n</t>
  </si>
  <si>
    <t xml:space="preserve">3. z</t>
  </si>
  <si>
    <t xml:space="preserve">4. z crítico (1-α)</t>
  </si>
  <si>
    <t xml:space="preserve">4. valor-p (área à direita)</t>
  </si>
  <si>
    <t xml:space="preserve">5. Decisão</t>
  </si>
  <si>
    <t xml:space="preserve">5. Interpretação</t>
  </si>
  <si>
    <t xml:space="preserve">Há evidência, a 5%, de que a média de vendas superou a meta de 500. O 520 é da amostra, não é 'a' média populacional.</t>
  </si>
  <si>
    <t xml:space="preserve">2. t para uma média (σ desconhecido): 2a satisfação (sumário) e 2b SLA 48h (dados brutos)</t>
  </si>
  <si>
    <t xml:space="preserve">Azul = input (pode mudar e ver a decisão virar). Preto = fórmula. </t>
  </si>
  <si>
    <t xml:space="preserve">SLA (h)</t>
  </si>
  <si>
    <t xml:space="preserve">2a. Satisfação: benchmark 7,0, n = 20, x̄ = 6,8, s = 0,5</t>
  </si>
  <si>
    <t xml:space="preserve">2b. SLA 48h: n = 25 entregas na coluna A. 'Está estourando o SLA?'</t>
  </si>
  <si>
    <t xml:space="preserve">μ ≤ 48</t>
  </si>
  <si>
    <t xml:space="preserve">μ0</t>
  </si>
  <si>
    <t xml:space="preserve">μ &gt; 48  (unicaudal à direita)</t>
  </si>
  <si>
    <t xml:space="preserve">s (amostral)</t>
  </si>
  <si>
    <t xml:space="preserve">3. n</t>
  </si>
  <si>
    <t xml:space="preserve">gl = n-1</t>
  </si>
  <si>
    <t xml:space="preserve">3. x̄</t>
  </si>
  <si>
    <t xml:space="preserve">3. Erro-padrão s/√n</t>
  </si>
  <si>
    <t xml:space="preserve">3. s</t>
  </si>
  <si>
    <t xml:space="preserve">3. t</t>
  </si>
  <si>
    <t xml:space="preserve">Leitura 1: H1 μ ≠ 7 (bicaudal)</t>
  </si>
  <si>
    <t xml:space="preserve">4. t crítico bicaudal ±</t>
  </si>
  <si>
    <t xml:space="preserve">4. valor-p bicaudal</t>
  </si>
  <si>
    <t xml:space="preserve">4. t crítico direita</t>
  </si>
  <si>
    <t xml:space="preserve">5. Decisão bicaudal</t>
  </si>
  <si>
    <t xml:space="preserve">4. valor-p direita</t>
  </si>
  <si>
    <t xml:space="preserve">Leitura 2: H1 μ &lt; 7 (unicaudal esquerda)</t>
  </si>
  <si>
    <t xml:space="preserve">5. Decisão a 5%</t>
  </si>
  <si>
    <t xml:space="preserve">4. t crítico esquerda</t>
  </si>
  <si>
    <t xml:space="preserve">α alternativo</t>
  </si>
  <si>
    <t xml:space="preserve">4. valor-p esquerda</t>
  </si>
  <si>
    <t xml:space="preserve">5. Decisão a 1%</t>
  </si>
  <si>
    <t xml:space="preserve">5. Decisão unicaudal</t>
  </si>
  <si>
    <t xml:space="preserve">A 5% há evidência de que o tempo médio passa das 48h prometidas; a 1% a amostra não basta. Reportar os dois.</t>
  </si>
  <si>
    <t xml:space="preserve">Pegadinha</t>
  </si>
  <si>
    <t xml:space="preserve">Mesma amostra, decisões diferentes: a cauda vem do enunciado.</t>
  </si>
  <si>
    <t xml:space="preserve">3. t pareado: vendas diárias (R$ mil) das mesmas 12 lojas, antes e depois da campanha</t>
  </si>
  <si>
    <t xml:space="preserve">Azul = input (pode mudar e ver a decisão virar). Preto = fórmula. D = Depois − Antes. 'A campanha aumentou as vendas?'</t>
  </si>
  <si>
    <t xml:space="preserve">Antes</t>
  </si>
  <si>
    <t xml:space="preserve">Depois</t>
  </si>
  <si>
    <t xml:space="preserve">D = Depois-Antes</t>
  </si>
  <si>
    <t xml:space="preserve">μ_D ≤ 0</t>
  </si>
  <si>
    <t xml:space="preserve">μ_D &gt; 0  (unicaudal à direita)</t>
  </si>
  <si>
    <t xml:space="preserve">3. n (pares)</t>
  </si>
  <si>
    <t xml:space="preserve">3. D médio</t>
  </si>
  <si>
    <t xml:space="preserve">3. s_D</t>
  </si>
  <si>
    <t xml:space="preserve">3. Erro-padrão s_D/√n</t>
  </si>
  <si>
    <t xml:space="preserve">IC 95% de μ_D: inferior</t>
  </si>
  <si>
    <t xml:space="preserve">IC 95% de μ_D: superior</t>
  </si>
  <si>
    <t xml:space="preserve">Atalho T.TEST(dep,ant,1,1)</t>
  </si>
  <si>
    <t xml:space="preserve">Obs. do atalho</t>
  </si>
  <si>
    <t xml:space="preserve">caudas=1 devolve a cauda de |t|: só vale se D médio tem o sinal de H1</t>
  </si>
  <si>
    <t xml:space="preserve">Há evidência de que a campanha aumentou as vendas. Efeito médio = D médio, com o IC como faixa plausível.</t>
  </si>
  <si>
    <t xml:space="preserve">4. t para duas médias independentes (Welch): ticket médio (R$) loja A vs loja B</t>
  </si>
  <si>
    <t xml:space="preserve">Azul = input (pode mudar e ver a decisão virar). Preto = fórmula. Amostras de clientes diferentes. 'Os tickets médios diferem?' Extensão além dos slides.</t>
  </si>
  <si>
    <t xml:space="preserve">Loja A</t>
  </si>
  <si>
    <t xml:space="preserve">Loja B</t>
  </si>
  <si>
    <t xml:space="preserve">μ_A = μ_B</t>
  </si>
  <si>
    <t xml:space="preserve">μ_A ≠ μ_B  (bicaudal)</t>
  </si>
  <si>
    <t xml:space="preserve">nA</t>
  </si>
  <si>
    <t xml:space="preserve">nB</t>
  </si>
  <si>
    <t xml:space="preserve">x̄A</t>
  </si>
  <si>
    <t xml:space="preserve">x̄B</t>
  </si>
  <si>
    <t xml:space="preserve">sA</t>
  </si>
  <si>
    <t xml:space="preserve">sB</t>
  </si>
  <si>
    <t xml:space="preserve">3. Erro-padrão √(sA²/nA+sB²/nB)</t>
  </si>
  <si>
    <t xml:space="preserve">gl de Welch</t>
  </si>
  <si>
    <t xml:space="preserve">Atalho T.TEST(A,B,2,3)</t>
  </si>
  <si>
    <t xml:space="preserve">Obs.</t>
  </si>
  <si>
    <t xml:space="preserve">Excel trunca gl não inteiro em T.DIST/T.INV; R usa gl fracionário. Diferença na 3ª casa do valor-p é isso.</t>
  </si>
  <si>
    <t xml:space="preserve">A 5% a amostra não sustenta que os tickets médios diferem (valor-p acima de α por pouco). Não é prova de igualdade.</t>
  </si>
  <si>
    <t xml:space="preserve">5. Z para uma proporção: clube de golfe, baseline 20% de mulheres</t>
  </si>
  <si>
    <t xml:space="preserve">Azul = input (pode mudar e ver a decisão virar). Preto = fórmula. Após a promoção: 100 mulheres em 400 jogadores. 'A proporção aumentou?'</t>
  </si>
  <si>
    <t xml:space="preserve">p ≤ 0,20</t>
  </si>
  <si>
    <t xml:space="preserve">p &gt; 0,20  (unicaudal à direita)</t>
  </si>
  <si>
    <t xml:space="preserve">x (sucessos)</t>
  </si>
  <si>
    <t xml:space="preserve">p0 (H0)</t>
  </si>
  <si>
    <t xml:space="preserve">3. p̂ = x/n</t>
  </si>
  <si>
    <t xml:space="preserve">3. Erro-padrão √(p0(1-p0)/n)</t>
  </si>
  <si>
    <t xml:space="preserve">Erro comum: EP com p̂ no denominador</t>
  </si>
  <si>
    <t xml:space="preserve">z errado com esse EP</t>
  </si>
  <si>
    <t xml:space="preserve">Fortes evidências de que a proporção de mulheres passou de 20%. Não diz que 'é 25%': 0,25 é da amostra.</t>
  </si>
  <si>
    <t xml:space="preserve">6. Qui-quadrado de aderência: mix de pagamento (esperado 45/35/20)</t>
  </si>
  <si>
    <t xml:space="preserve">Azul = input (pode mudar e ver a decisão virar). Preto = fórmula. n = 200 compras. 'A distribuição observada segue o mix esperado?'</t>
  </si>
  <si>
    <t xml:space="preserve">Categoria</t>
  </si>
  <si>
    <t xml:space="preserve">Observado O</t>
  </si>
  <si>
    <t xml:space="preserve">p esperada</t>
  </si>
  <si>
    <t xml:space="preserve">Esperado E = n·p</t>
  </si>
  <si>
    <t xml:space="preserve">(O-E)²/E</t>
  </si>
  <si>
    <t xml:space="preserve">Credito</t>
  </si>
  <si>
    <t xml:space="preserve">distribuição observada segue 45/35/20</t>
  </si>
  <si>
    <t xml:space="preserve">Debito</t>
  </si>
  <si>
    <t xml:space="preserve">pelo menos uma proporção difere</t>
  </si>
  <si>
    <t xml:space="preserve">Dinheiro</t>
  </si>
  <si>
    <t xml:space="preserve">Total</t>
  </si>
  <si>
    <t xml:space="preserve">3. χ² = Σ(O-E)²/E</t>
  </si>
  <si>
    <t xml:space="preserve">gl = k-1</t>
  </si>
  <si>
    <t xml:space="preserve">4. χ² crítico (cauda direita)</t>
  </si>
  <si>
    <t xml:space="preserve">4. valor-p</t>
  </si>
  <si>
    <t xml:space="preserve">Atalho CHISQ.TEST(obs,esp)</t>
  </si>
  <si>
    <t xml:space="preserve">A amostra é consistente com o mix esperado; não há evidência de mudança no comportamento de pagamento.</t>
  </si>
  <si>
    <t xml:space="preserve">7. Qui-quadrado de independência: canal de marketing x compra (n = 320 leads)</t>
  </si>
  <si>
    <t xml:space="preserve">Azul = input (pode mudar e ver a decisão virar). Preto = fórmula. 'A chance de compra depende do canal?'</t>
  </si>
  <si>
    <t xml:space="preserve">Observado</t>
  </si>
  <si>
    <t xml:space="preserve">Comprou</t>
  </si>
  <si>
    <t xml:space="preserve">NaoComprou</t>
  </si>
  <si>
    <t xml:space="preserve">Total linha</t>
  </si>
  <si>
    <t xml:space="preserve">Email</t>
  </si>
  <si>
    <t xml:space="preserve">canal e compra são independentes</t>
  </si>
  <si>
    <t xml:space="preserve">Social</t>
  </si>
  <si>
    <t xml:space="preserve">existe associação</t>
  </si>
  <si>
    <t xml:space="preserve">Search</t>
  </si>
  <si>
    <t xml:space="preserve">Total coluna</t>
  </si>
  <si>
    <t xml:space="preserve">3. χ² = ΣΣ(O-E)²/E</t>
  </si>
  <si>
    <t xml:space="preserve">gl = (r-1)(c-1)</t>
  </si>
  <si>
    <t xml:space="preserve">Esperado E</t>
  </si>
  <si>
    <t xml:space="preserve">4. χ² crítico</t>
  </si>
  <si>
    <t xml:space="preserve">Menor esperada (regra ≥ 5)</t>
  </si>
  <si>
    <t xml:space="preserve">A probabilidade de compra depende do canal. Pelos resíduos e pelas taxas, Search é o canal forte, Social o fraco.</t>
  </si>
  <si>
    <t xml:space="preserve">Resíduo (O-E)/√E</t>
  </si>
  <si>
    <t xml:space="preserve">Taxa de compra por canal</t>
  </si>
  <si>
    <t xml:space="preserve">Exercícios E1 a E4: só dados. Gabarito no fim do md.</t>
  </si>
  <si>
    <t xml:space="preserve">Azul = input (pode mudar e ver a decisão virar). Preto = fórmula. Monte você o bloco de passos ao lado de cada dataset.</t>
  </si>
  <si>
    <t xml:space="preserve">E1 Atendimento (min). 'Mudou de 10 min?' α = 5%</t>
  </si>
  <si>
    <t xml:space="preserve">E2 Conversão. Era 30%. 'Mudou?'</t>
  </si>
  <si>
    <t xml:space="preserve">E3a Mesmas 10 pessoas, min/tarefa antes e depois do treinamento. 'Reduziu?'</t>
  </si>
  <si>
    <t xml:space="preserve">E3b Notas de duas turmas diferentes. 'As médias diferem?'</t>
  </si>
  <si>
    <t xml:space="preserve">E4 Sabores. 'Preferência uniforme (25% cada)?'</t>
  </si>
  <si>
    <t xml:space="preserve">min</t>
  </si>
  <si>
    <t xml:space="preserve">x (conversões)</t>
  </si>
  <si>
    <t xml:space="preserve">Turma A</t>
  </si>
  <si>
    <t xml:space="preserve">Turma B</t>
  </si>
  <si>
    <t xml:space="preserve">Sabor</t>
  </si>
  <si>
    <t xml:space="preserve">n (visitas)</t>
  </si>
  <si>
    <t xml:space="preserve">A</t>
  </si>
  <si>
    <t xml:space="preserve">p0</t>
  </si>
  <si>
    <t xml:space="preserve">B</t>
  </si>
  <si>
    <t xml:space="preserve">C</t>
  </si>
  <si>
    <t xml:space="preserve">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</si>
</sst>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0.00000"/>
    <numFmt numFmtId="167" formatCode="0.0"/>
    <numFmt numFmtId="168" formatCode="0.0000"/>
    <numFmt numFmtId="169" formatCode="0.00"/>
    <numFmt numFmtId="170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2"/>
    <col collapsed="false" customWidth="true" hidden="false" outlineLevel="0" max="3" min="3" style="1" width="36"/>
    <col collapsed="false" customWidth="true" hidden="false" outlineLevel="0" max="4" min="4" style="1" width="40"/>
    <col collapsed="false" customWidth="true" hidden="false" outlineLevel="0" max="5" min="5" style="1" width="26"/>
    <col collapsed="false" customWidth="true" hidden="false" outlineLevel="0" max="6" min="6" style="1" width="52"/>
  </cols>
  <sheetData>
    <row r="1" customFormat="false" ht="16.15" hidden="false" customHeight="false" outlineLevel="0" collapsed="false">
      <c r="A1" s="2" t="s">
        <v>0</v>
      </c>
    </row>
    <row r="2" customFormat="false" ht="57.4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false" outlineLevel="0" collapsed="false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/>
    </row>
    <row r="6" customFormat="false" ht="15" hidden="false" customHeight="false" outlineLevel="0" collapsed="false">
      <c r="A6" s="5" t="s">
        <v>13</v>
      </c>
      <c r="B6" s="5" t="s">
        <v>14</v>
      </c>
      <c r="C6" s="5" t="s">
        <v>15</v>
      </c>
      <c r="D6" s="5" t="s">
        <v>16</v>
      </c>
      <c r="E6" s="5" t="s">
        <v>17</v>
      </c>
      <c r="F6" s="5"/>
    </row>
    <row r="7" customFormat="false" ht="15" hidden="false" customHeight="false" outlineLevel="0" collapsed="false">
      <c r="A7" s="5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5" t="s">
        <v>23</v>
      </c>
    </row>
    <row r="8" customFormat="false" ht="15" hidden="false" customHeight="false" outlineLevel="0" collapsed="false">
      <c r="A8" s="5" t="s">
        <v>24</v>
      </c>
      <c r="B8" s="5" t="s">
        <v>25</v>
      </c>
      <c r="C8" s="5" t="s">
        <v>26</v>
      </c>
      <c r="D8" s="5" t="s">
        <v>27</v>
      </c>
      <c r="E8" s="5"/>
      <c r="F8" s="5"/>
    </row>
    <row r="9" customFormat="false" ht="15" hidden="false" customHeight="false" outlineLevel="0" collapsed="false">
      <c r="A9" s="5" t="s">
        <v>28</v>
      </c>
      <c r="B9" s="5" t="s">
        <v>29</v>
      </c>
      <c r="C9" s="5" t="s">
        <v>30</v>
      </c>
      <c r="D9" s="5" t="s">
        <v>31</v>
      </c>
      <c r="E9" s="5" t="s">
        <v>32</v>
      </c>
      <c r="F9" s="5" t="s">
        <v>33</v>
      </c>
    </row>
    <row r="10" customFormat="false" ht="15" hidden="false" customHeight="false" outlineLevel="0" collapsed="false">
      <c r="A10" s="5" t="s">
        <v>34</v>
      </c>
      <c r="B10" s="5" t="s">
        <v>35</v>
      </c>
      <c r="C10" s="5" t="s">
        <v>36</v>
      </c>
      <c r="D10" s="5" t="s">
        <v>37</v>
      </c>
      <c r="E10" s="5" t="s">
        <v>38</v>
      </c>
      <c r="F10" s="5" t="s">
        <v>39</v>
      </c>
    </row>
    <row r="11" customFormat="false" ht="15" hidden="false" customHeight="false" outlineLevel="0" collapsed="false">
      <c r="A11" s="5" t="s">
        <v>40</v>
      </c>
      <c r="B11" s="5" t="s">
        <v>41</v>
      </c>
      <c r="C11" s="5" t="s">
        <v>42</v>
      </c>
      <c r="D11" s="5" t="s">
        <v>43</v>
      </c>
      <c r="E11" s="5" t="s">
        <v>44</v>
      </c>
      <c r="F11" s="5" t="s">
        <v>45</v>
      </c>
    </row>
    <row r="12" customFormat="false" ht="15" hidden="false" customHeight="false" outlineLevel="0" collapsed="false">
      <c r="A12" s="5" t="s">
        <v>46</v>
      </c>
      <c r="B12" s="5" t="s">
        <v>47</v>
      </c>
      <c r="C12" s="5" t="s">
        <v>48</v>
      </c>
      <c r="D12" s="5" t="s">
        <v>49</v>
      </c>
      <c r="E12" s="5" t="s">
        <v>50</v>
      </c>
      <c r="F12" s="5"/>
    </row>
    <row r="13" customFormat="false" ht="15" hidden="false" customHeight="false" outlineLevel="0" collapsed="false">
      <c r="A13" s="5" t="s">
        <v>51</v>
      </c>
      <c r="B13" s="5" t="s">
        <v>52</v>
      </c>
      <c r="C13" s="5" t="s">
        <v>53</v>
      </c>
      <c r="D13" s="5" t="s">
        <v>54</v>
      </c>
      <c r="E13" s="5" t="s">
        <v>55</v>
      </c>
      <c r="F13" s="5" t="s">
        <v>56</v>
      </c>
    </row>
    <row r="14" customFormat="false" ht="15" hidden="false" customHeight="false" outlineLevel="0" collapsed="false">
      <c r="A14" s="5" t="s">
        <v>57</v>
      </c>
      <c r="B14" s="5" t="s">
        <v>58</v>
      </c>
      <c r="C14" s="5" t="s">
        <v>59</v>
      </c>
      <c r="D14" s="5" t="s">
        <v>60</v>
      </c>
      <c r="E14" s="5" t="s">
        <v>61</v>
      </c>
      <c r="F14" s="5" t="s">
        <v>62</v>
      </c>
    </row>
    <row r="15" customFormat="false" ht="15" hidden="false" customHeight="false" outlineLevel="0" collapsed="false">
      <c r="A15" s="5" t="s">
        <v>63</v>
      </c>
      <c r="B15" s="5" t="s">
        <v>64</v>
      </c>
      <c r="C15" s="5" t="s">
        <v>65</v>
      </c>
      <c r="D15" s="5" t="s">
        <v>66</v>
      </c>
      <c r="E15" s="5" t="s">
        <v>67</v>
      </c>
      <c r="F15" s="5"/>
    </row>
    <row r="16" customFormat="false" ht="15" hidden="false" customHeight="false" outlineLevel="0" collapsed="false">
      <c r="A16" s="5" t="s">
        <v>68</v>
      </c>
      <c r="B16" s="5" t="s">
        <v>69</v>
      </c>
      <c r="C16" s="5" t="s">
        <v>70</v>
      </c>
      <c r="D16" s="5" t="s">
        <v>71</v>
      </c>
      <c r="E16" s="5" t="s">
        <v>72</v>
      </c>
      <c r="F16" s="5"/>
    </row>
    <row r="17" customFormat="false" ht="15" hidden="false" customHeight="false" outlineLevel="0" collapsed="false">
      <c r="A17" s="5" t="s">
        <v>73</v>
      </c>
      <c r="B17" s="5" t="s">
        <v>74</v>
      </c>
      <c r="C17" s="5" t="s">
        <v>75</v>
      </c>
      <c r="D17" s="5" t="s">
        <v>76</v>
      </c>
      <c r="E17" s="5" t="s">
        <v>50</v>
      </c>
      <c r="F17" s="5" t="s">
        <v>77</v>
      </c>
    </row>
    <row r="18" customFormat="false" ht="15" hidden="false" customHeight="false" outlineLevel="0" collapsed="false">
      <c r="A18" s="5" t="s">
        <v>78</v>
      </c>
      <c r="B18" s="5" t="s">
        <v>79</v>
      </c>
      <c r="C18" s="5" t="s">
        <v>80</v>
      </c>
      <c r="D18" s="5" t="s">
        <v>81</v>
      </c>
      <c r="E18" s="5" t="s">
        <v>82</v>
      </c>
      <c r="F18" s="5" t="s">
        <v>83</v>
      </c>
    </row>
    <row r="19" customFormat="false" ht="15" hidden="false" customHeight="false" outlineLevel="0" collapsed="false">
      <c r="A19" s="5" t="s">
        <v>84</v>
      </c>
      <c r="B19" s="5" t="s">
        <v>85</v>
      </c>
      <c r="C19" s="5" t="s">
        <v>86</v>
      </c>
      <c r="D19" s="5" t="s">
        <v>87</v>
      </c>
      <c r="E19" s="5" t="s">
        <v>67</v>
      </c>
      <c r="F19" s="5"/>
    </row>
    <row r="20" customFormat="false" ht="15" hidden="false" customHeight="false" outlineLevel="0" collapsed="false">
      <c r="A20" s="5" t="s">
        <v>88</v>
      </c>
      <c r="B20" s="5" t="s">
        <v>89</v>
      </c>
      <c r="C20" s="5" t="s">
        <v>90</v>
      </c>
      <c r="D20" s="5" t="s">
        <v>91</v>
      </c>
      <c r="E20" s="5" t="s">
        <v>92</v>
      </c>
      <c r="F20" s="6" t="s">
        <v>93</v>
      </c>
    </row>
    <row r="21" customFormat="false" ht="15" hidden="false" customHeight="false" outlineLevel="0" collapsed="false">
      <c r="A21" s="5" t="s">
        <v>94</v>
      </c>
      <c r="B21" s="5" t="s">
        <v>95</v>
      </c>
      <c r="C21" s="5" t="s">
        <v>96</v>
      </c>
      <c r="D21" s="5" t="s">
        <v>97</v>
      </c>
      <c r="E21" s="5" t="s">
        <v>92</v>
      </c>
      <c r="F21" s="6" t="s">
        <v>98</v>
      </c>
    </row>
    <row r="22" customFormat="false" ht="15" hidden="false" customHeight="false" outlineLevel="0" collapsed="false">
      <c r="A22" s="5" t="s">
        <v>99</v>
      </c>
      <c r="B22" s="5" t="s">
        <v>100</v>
      </c>
      <c r="C22" s="5" t="s">
        <v>101</v>
      </c>
      <c r="D22" s="5" t="s">
        <v>102</v>
      </c>
      <c r="E22" s="5" t="s">
        <v>103</v>
      </c>
      <c r="F22" s="6" t="s">
        <v>104</v>
      </c>
    </row>
    <row r="23" customFormat="false" ht="15" hidden="false" customHeight="false" outlineLevel="0" collapsed="false">
      <c r="A23" s="5" t="s">
        <v>105</v>
      </c>
      <c r="B23" s="5" t="s">
        <v>106</v>
      </c>
      <c r="C23" s="5" t="s">
        <v>107</v>
      </c>
      <c r="D23" s="5" t="s">
        <v>108</v>
      </c>
      <c r="E23" s="5" t="s">
        <v>92</v>
      </c>
      <c r="F23" s="6" t="s">
        <v>109</v>
      </c>
    </row>
    <row r="24" customFormat="false" ht="15" hidden="false" customHeight="false" outlineLevel="0" collapsed="false">
      <c r="A24" s="5" t="s">
        <v>110</v>
      </c>
      <c r="B24" s="5" t="s">
        <v>102</v>
      </c>
      <c r="C24" s="5" t="s">
        <v>102</v>
      </c>
      <c r="D24" s="6" t="s">
        <v>111</v>
      </c>
      <c r="E24" s="5" t="s">
        <v>112</v>
      </c>
      <c r="F24" s="5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3" style="1" width="30"/>
    <col collapsed="false" customWidth="true" hidden="false" outlineLevel="0" max="4" min="4" style="1" width="60"/>
  </cols>
  <sheetData>
    <row r="1" customFormat="false" ht="171.6" hidden="false" customHeight="false" outlineLevel="0" collapsed="false">
      <c r="A1" s="7" t="s">
        <v>114</v>
      </c>
    </row>
    <row r="2" customFormat="false" ht="225.35" hidden="false" customHeight="false" outlineLevel="0" collapsed="false">
      <c r="A2" s="3" t="s">
        <v>115</v>
      </c>
    </row>
    <row r="4" customFormat="false" ht="15" hidden="false" customHeight="false" outlineLevel="0" collapsed="false">
      <c r="C4" s="8" t="s">
        <v>116</v>
      </c>
      <c r="D4" s="5" t="s">
        <v>117</v>
      </c>
    </row>
    <row r="5" customFormat="false" ht="15" hidden="false" customHeight="false" outlineLevel="0" collapsed="false">
      <c r="C5" s="8" t="s">
        <v>118</v>
      </c>
      <c r="D5" s="5" t="s">
        <v>119</v>
      </c>
    </row>
    <row r="6" customFormat="false" ht="15" hidden="false" customHeight="false" outlineLevel="0" collapsed="false">
      <c r="C6" s="8" t="s">
        <v>120</v>
      </c>
      <c r="D6" s="9" t="n">
        <v>0.05</v>
      </c>
    </row>
    <row r="7" customFormat="false" ht="15" hidden="false" customHeight="false" outlineLevel="0" collapsed="false">
      <c r="C7" s="5" t="s">
        <v>121</v>
      </c>
      <c r="D7" s="9" t="n">
        <v>500</v>
      </c>
    </row>
    <row r="8" customFormat="false" ht="15" hidden="false" customHeight="false" outlineLevel="0" collapsed="false">
      <c r="C8" s="5" t="s">
        <v>122</v>
      </c>
      <c r="D8" s="9" t="n">
        <v>30</v>
      </c>
    </row>
    <row r="9" customFormat="false" ht="15" hidden="false" customHeight="false" outlineLevel="0" collapsed="false">
      <c r="C9" s="5" t="s">
        <v>12</v>
      </c>
      <c r="D9" s="9" t="n">
        <v>36</v>
      </c>
    </row>
    <row r="10" customFormat="false" ht="15" hidden="false" customHeight="false" outlineLevel="0" collapsed="false">
      <c r="C10" s="5" t="s">
        <v>123</v>
      </c>
      <c r="D10" s="9" t="n">
        <v>520</v>
      </c>
    </row>
    <row r="11" customFormat="false" ht="15" hidden="false" customHeight="false" outlineLevel="0" collapsed="false">
      <c r="C11" s="8" t="s">
        <v>124</v>
      </c>
      <c r="D11" s="10" t="n">
        <f aca="false">D8/SQRT(D9)</f>
        <v>5</v>
      </c>
    </row>
    <row r="12" customFormat="false" ht="15" hidden="false" customHeight="false" outlineLevel="0" collapsed="false">
      <c r="C12" s="8" t="s">
        <v>125</v>
      </c>
      <c r="D12" s="10" t="n">
        <f aca="false">(D10-D7)/D11</f>
        <v>4</v>
      </c>
    </row>
    <row r="13" customFormat="false" ht="15" hidden="false" customHeight="false" outlineLevel="0" collapsed="false">
      <c r="C13" s="8" t="s">
        <v>126</v>
      </c>
      <c r="D13" s="10" t="n">
        <f aca="false">_xlfn.NORM.S.INV(1-D6)</f>
        <v>1.64485362695147</v>
      </c>
    </row>
    <row r="14" customFormat="false" ht="15" hidden="false" customHeight="false" outlineLevel="0" collapsed="false">
      <c r="C14" s="8" t="s">
        <v>127</v>
      </c>
      <c r="D14" s="11" t="n">
        <f aca="false">1-_xlfn.NORM.S.DIST(D12,TRUE())</f>
        <v>3.167124183312E-005</v>
      </c>
    </row>
    <row r="15" customFormat="false" ht="15" hidden="false" customHeight="false" outlineLevel="0" collapsed="false">
      <c r="C15" s="8" t="s">
        <v>128</v>
      </c>
      <c r="D15" s="8" t="str">
        <f aca="false">IF(D14&lt;D6,"Rejeita H0","Não rejeita H0")</f>
        <v>Rejeita H0</v>
      </c>
    </row>
    <row r="16" customFormat="false" ht="23.85" hidden="false" customHeight="false" outlineLevel="0" collapsed="false">
      <c r="C16" s="8" t="s">
        <v>129</v>
      </c>
      <c r="D16" s="6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3" style="1" width="34"/>
    <col collapsed="false" customWidth="true" hidden="false" outlineLevel="0" max="4" min="4" style="1" width="22"/>
    <col collapsed="false" customWidth="true" hidden="false" outlineLevel="0" max="6" min="6" style="1" width="30"/>
    <col collapsed="false" customWidth="true" hidden="false" outlineLevel="0" max="7" min="7" style="1" width="40"/>
  </cols>
  <sheetData>
    <row r="1" customFormat="false" ht="214.15" hidden="false" customHeight="false" outlineLevel="0" collapsed="false">
      <c r="A1" s="7" t="s">
        <v>131</v>
      </c>
    </row>
    <row r="2" customFormat="false" ht="79.85" hidden="false" customHeight="false" outlineLevel="0" collapsed="false">
      <c r="A2" s="3" t="s">
        <v>132</v>
      </c>
    </row>
    <row r="3" customFormat="false" ht="35.05" hidden="false" customHeight="false" outlineLevel="0" collapsed="false">
      <c r="A3" s="8" t="s">
        <v>133</v>
      </c>
      <c r="C3" s="12" t="s">
        <v>134</v>
      </c>
      <c r="F3" s="12" t="s">
        <v>135</v>
      </c>
    </row>
    <row r="4" customFormat="false" ht="15" hidden="false" customHeight="false" outlineLevel="0" collapsed="false">
      <c r="A4" s="13" t="n">
        <v>51.4</v>
      </c>
      <c r="C4" s="8" t="s">
        <v>120</v>
      </c>
      <c r="D4" s="9" t="n">
        <v>0.05</v>
      </c>
      <c r="F4" s="8" t="s">
        <v>116</v>
      </c>
      <c r="G4" s="5" t="s">
        <v>136</v>
      </c>
    </row>
    <row r="5" customFormat="false" ht="15" hidden="false" customHeight="false" outlineLevel="0" collapsed="false">
      <c r="A5" s="13" t="n">
        <v>41.8</v>
      </c>
      <c r="C5" s="5" t="s">
        <v>137</v>
      </c>
      <c r="D5" s="9" t="n">
        <v>7</v>
      </c>
      <c r="F5" s="8" t="s">
        <v>118</v>
      </c>
      <c r="G5" s="5" t="s">
        <v>138</v>
      </c>
    </row>
    <row r="6" customFormat="false" ht="15" hidden="false" customHeight="false" outlineLevel="0" collapsed="false">
      <c r="A6" s="13" t="n">
        <v>58.3</v>
      </c>
      <c r="C6" s="5" t="s">
        <v>12</v>
      </c>
      <c r="D6" s="9" t="n">
        <v>20</v>
      </c>
      <c r="F6" s="8" t="s">
        <v>120</v>
      </c>
      <c r="G6" s="9" t="n">
        <v>0.05</v>
      </c>
    </row>
    <row r="7" customFormat="false" ht="15" hidden="false" customHeight="false" outlineLevel="0" collapsed="false">
      <c r="A7" s="13" t="n">
        <v>48.5</v>
      </c>
      <c r="C7" s="5" t="s">
        <v>17</v>
      </c>
      <c r="D7" s="9" t="n">
        <v>6.8</v>
      </c>
      <c r="F7" s="5" t="s">
        <v>137</v>
      </c>
      <c r="G7" s="9" t="n">
        <v>48</v>
      </c>
    </row>
    <row r="8" customFormat="false" ht="15" hidden="false" customHeight="false" outlineLevel="0" collapsed="false">
      <c r="A8" s="13" t="n">
        <v>49.7</v>
      </c>
      <c r="C8" s="5" t="s">
        <v>139</v>
      </c>
      <c r="D8" s="9" t="n">
        <v>0.5</v>
      </c>
      <c r="F8" s="8" t="s">
        <v>140</v>
      </c>
      <c r="G8" s="5" t="n">
        <f aca="false">COUNT(A4:A28)</f>
        <v>25</v>
      </c>
    </row>
    <row r="9" customFormat="false" ht="15" hidden="false" customHeight="false" outlineLevel="0" collapsed="false">
      <c r="A9" s="13" t="n">
        <v>49.5</v>
      </c>
      <c r="C9" s="5" t="s">
        <v>141</v>
      </c>
      <c r="D9" s="5" t="n">
        <f aca="false">D6-1</f>
        <v>19</v>
      </c>
      <c r="F9" s="8" t="s">
        <v>142</v>
      </c>
      <c r="G9" s="10" t="n">
        <f aca="false">AVERAGE(A4:A28)</f>
        <v>49.664</v>
      </c>
    </row>
    <row r="10" customFormat="false" ht="15" hidden="false" customHeight="false" outlineLevel="0" collapsed="false">
      <c r="A10" s="13" t="n">
        <v>58</v>
      </c>
      <c r="C10" s="8" t="s">
        <v>143</v>
      </c>
      <c r="D10" s="10" t="n">
        <f aca="false">D8/SQRT(D6)</f>
        <v>0.111803398874989</v>
      </c>
      <c r="F10" s="8" t="s">
        <v>144</v>
      </c>
      <c r="G10" s="10" t="n">
        <f aca="false">_xlfn.STDEV.S(A4:A28)</f>
        <v>4.14998795178974</v>
      </c>
    </row>
    <row r="11" customFormat="false" ht="15" hidden="false" customHeight="false" outlineLevel="0" collapsed="false">
      <c r="A11" s="13" t="n">
        <v>49.1</v>
      </c>
      <c r="C11" s="8" t="s">
        <v>145</v>
      </c>
      <c r="D11" s="10" t="n">
        <f aca="false">(D7-D5)/D10</f>
        <v>-1.78885438199983</v>
      </c>
      <c r="F11" s="8" t="s">
        <v>143</v>
      </c>
      <c r="G11" s="10" t="n">
        <f aca="false">G10/SQRT(G8)</f>
        <v>0.829997590357948</v>
      </c>
    </row>
    <row r="12" customFormat="false" ht="15" hidden="false" customHeight="false" outlineLevel="0" collapsed="false">
      <c r="A12" s="13" t="n">
        <v>49.4</v>
      </c>
      <c r="C12" s="8" t="s">
        <v>146</v>
      </c>
      <c r="F12" s="5" t="s">
        <v>141</v>
      </c>
      <c r="G12" s="5" t="n">
        <f aca="false">G8-1</f>
        <v>24</v>
      </c>
    </row>
    <row r="13" customFormat="false" ht="15" hidden="false" customHeight="false" outlineLevel="0" collapsed="false">
      <c r="A13" s="13" t="n">
        <v>48.9</v>
      </c>
      <c r="C13" s="8" t="s">
        <v>147</v>
      </c>
      <c r="D13" s="10" t="n">
        <f aca="false">_xlfn.T.INV.2T(D4,D9)</f>
        <v>2.09302405440831</v>
      </c>
      <c r="F13" s="8" t="s">
        <v>145</v>
      </c>
      <c r="G13" s="10" t="n">
        <f aca="false">(G9-G7)/G11</f>
        <v>2.00482509748296</v>
      </c>
    </row>
    <row r="14" customFormat="false" ht="15" hidden="false" customHeight="false" outlineLevel="0" collapsed="false">
      <c r="A14" s="13" t="n">
        <v>47.3</v>
      </c>
      <c r="C14" s="8" t="s">
        <v>148</v>
      </c>
      <c r="D14" s="14" t="n">
        <f aca="false">_xlfn.T.DIST.2T(ABS(D11),D9)</f>
        <v>0.0895945211195384</v>
      </c>
      <c r="F14" s="8" t="s">
        <v>149</v>
      </c>
      <c r="G14" s="10" t="n">
        <f aca="false">_xlfn.T.INV(1-G6,G12)</f>
        <v>1.71088207990943</v>
      </c>
    </row>
    <row r="15" customFormat="false" ht="15" hidden="false" customHeight="false" outlineLevel="0" collapsed="false">
      <c r="A15" s="13" t="n">
        <v>49.1</v>
      </c>
      <c r="C15" s="8" t="s">
        <v>150</v>
      </c>
      <c r="D15" s="8" t="str">
        <f aca="false">IF(D14&lt;D4,"Rejeita H0","Não rejeita H0")</f>
        <v>Não rejeita H0</v>
      </c>
      <c r="F15" s="8" t="s">
        <v>151</v>
      </c>
      <c r="G15" s="14" t="n">
        <f aca="false">_xlfn.T.DIST.RT(G13,G12)</f>
        <v>0.0281937476740058</v>
      </c>
    </row>
    <row r="16" customFormat="false" ht="15" hidden="false" customHeight="false" outlineLevel="0" collapsed="false">
      <c r="A16" s="13" t="n">
        <v>52.1</v>
      </c>
      <c r="C16" s="8" t="s">
        <v>152</v>
      </c>
      <c r="F16" s="8" t="s">
        <v>153</v>
      </c>
      <c r="G16" s="8" t="str">
        <f aca="false">IF(G15&lt;G6,"Rejeita H0","Não rejeita H0")</f>
        <v>Rejeita H0</v>
      </c>
    </row>
    <row r="17" customFormat="false" ht="15" hidden="false" customHeight="false" outlineLevel="0" collapsed="false">
      <c r="A17" s="13" t="n">
        <v>45.4</v>
      </c>
      <c r="C17" s="8" t="s">
        <v>154</v>
      </c>
      <c r="D17" s="10" t="n">
        <f aca="false">_xlfn.T.INV(D4,D9)</f>
        <v>-1.72913281152137</v>
      </c>
      <c r="F17" s="5" t="s">
        <v>155</v>
      </c>
      <c r="G17" s="9" t="n">
        <v>0.01</v>
      </c>
    </row>
    <row r="18" customFormat="false" ht="15" hidden="false" customHeight="false" outlineLevel="0" collapsed="false">
      <c r="A18" s="13" t="n">
        <v>54.7</v>
      </c>
      <c r="C18" s="8" t="s">
        <v>156</v>
      </c>
      <c r="D18" s="14" t="n">
        <f aca="false">_xlfn.T.DIST(D11,D9,TRUE())</f>
        <v>0.0447972605597692</v>
      </c>
      <c r="F18" s="8" t="s">
        <v>157</v>
      </c>
      <c r="G18" s="8" t="str">
        <f aca="false">IF(G15&lt;G17,"Rejeita H0","Não rejeita H0")</f>
        <v>Não rejeita H0</v>
      </c>
    </row>
    <row r="19" customFormat="false" ht="35.05" hidden="false" customHeight="false" outlineLevel="0" collapsed="false">
      <c r="A19" s="13" t="n">
        <v>53.5</v>
      </c>
      <c r="C19" s="8" t="s">
        <v>158</v>
      </c>
      <c r="D19" s="8" t="str">
        <f aca="false">IF(D18&lt;D4,"Rejeita H0","Não rejeita H0")</f>
        <v>Rejeita H0</v>
      </c>
      <c r="F19" s="8" t="s">
        <v>129</v>
      </c>
      <c r="G19" s="6" t="s">
        <v>159</v>
      </c>
    </row>
    <row r="20" customFormat="false" ht="35.05" hidden="false" customHeight="false" outlineLevel="0" collapsed="false">
      <c r="A20" s="13" t="n">
        <v>49.7</v>
      </c>
      <c r="C20" s="5" t="s">
        <v>160</v>
      </c>
      <c r="D20" s="6" t="s">
        <v>161</v>
      </c>
    </row>
    <row r="21" customFormat="false" ht="15" hidden="false" customHeight="false" outlineLevel="0" collapsed="false">
      <c r="A21" s="13" t="n">
        <v>49.3</v>
      </c>
    </row>
    <row r="22" customFormat="false" ht="15" hidden="false" customHeight="false" outlineLevel="0" collapsed="false">
      <c r="A22" s="13" t="n">
        <v>49</v>
      </c>
    </row>
    <row r="23" customFormat="false" ht="15" hidden="false" customHeight="false" outlineLevel="0" collapsed="false">
      <c r="A23" s="13" t="n">
        <v>48.1</v>
      </c>
    </row>
    <row r="24" customFormat="false" ht="15" hidden="false" customHeight="false" outlineLevel="0" collapsed="false">
      <c r="A24" s="13" t="n">
        <v>43.6</v>
      </c>
    </row>
    <row r="25" customFormat="false" ht="15" hidden="false" customHeight="false" outlineLevel="0" collapsed="false">
      <c r="A25" s="13" t="n">
        <v>47.3</v>
      </c>
    </row>
    <row r="26" customFormat="false" ht="15" hidden="false" customHeight="false" outlineLevel="0" collapsed="false">
      <c r="A26" s="13" t="n">
        <v>52.1</v>
      </c>
    </row>
    <row r="27" customFormat="false" ht="15" hidden="false" customHeight="false" outlineLevel="0" collapsed="false">
      <c r="A27" s="13" t="n">
        <v>41.8</v>
      </c>
    </row>
    <row r="28" customFormat="false" ht="15" hidden="false" customHeight="false" outlineLevel="0" collapsed="false">
      <c r="A28" s="13" t="n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9"/>
    <col collapsed="false" customWidth="true" hidden="false" outlineLevel="0" max="3" min="3" style="1" width="16"/>
    <col collapsed="false" customWidth="true" hidden="false" outlineLevel="0" max="5" min="5" style="1" width="30"/>
    <col collapsed="false" customWidth="true" hidden="false" outlineLevel="0" max="6" min="6" style="1" width="44"/>
  </cols>
  <sheetData>
    <row r="1" customFormat="false" ht="228.35" hidden="false" customHeight="false" outlineLevel="0" collapsed="false">
      <c r="A1" s="7" t="s">
        <v>162</v>
      </c>
    </row>
    <row r="2" customFormat="false" ht="180.55" hidden="false" customHeight="false" outlineLevel="0" collapsed="false">
      <c r="A2" s="3" t="s">
        <v>163</v>
      </c>
    </row>
    <row r="3" customFormat="false" ht="15" hidden="false" customHeight="false" outlineLevel="0" collapsed="false">
      <c r="A3" s="8" t="s">
        <v>164</v>
      </c>
      <c r="B3" s="8" t="s">
        <v>165</v>
      </c>
      <c r="C3" s="8" t="s">
        <v>166</v>
      </c>
    </row>
    <row r="4" customFormat="false" ht="15" hidden="false" customHeight="false" outlineLevel="0" collapsed="false">
      <c r="A4" s="13" t="n">
        <v>177</v>
      </c>
      <c r="B4" s="13" t="n">
        <v>166.3</v>
      </c>
      <c r="C4" s="15" t="n">
        <f aca="false">B4-A4</f>
        <v>-10.7</v>
      </c>
      <c r="E4" s="8" t="s">
        <v>116</v>
      </c>
      <c r="F4" s="5" t="s">
        <v>167</v>
      </c>
    </row>
    <row r="5" customFormat="false" ht="15" hidden="false" customHeight="false" outlineLevel="0" collapsed="false">
      <c r="A5" s="13" t="n">
        <v>254.8</v>
      </c>
      <c r="B5" s="13" t="n">
        <v>280.9</v>
      </c>
      <c r="C5" s="15" t="n">
        <f aca="false">B5-A5</f>
        <v>26.1</v>
      </c>
      <c r="E5" s="8" t="s">
        <v>118</v>
      </c>
      <c r="F5" s="5" t="s">
        <v>168</v>
      </c>
    </row>
    <row r="6" customFormat="false" ht="15" hidden="false" customHeight="false" outlineLevel="0" collapsed="false">
      <c r="A6" s="13" t="n">
        <v>225.2</v>
      </c>
      <c r="B6" s="13" t="n">
        <v>253.2</v>
      </c>
      <c r="C6" s="15" t="n">
        <f aca="false">B6-A6</f>
        <v>28</v>
      </c>
      <c r="E6" s="8" t="s">
        <v>120</v>
      </c>
      <c r="F6" s="9" t="n">
        <v>0.05</v>
      </c>
    </row>
    <row r="7" customFormat="false" ht="15" hidden="false" customHeight="false" outlineLevel="0" collapsed="false">
      <c r="A7" s="13" t="n">
        <v>226.1</v>
      </c>
      <c r="B7" s="13" t="n">
        <v>253.8</v>
      </c>
      <c r="C7" s="15" t="n">
        <f aca="false">B7-A7</f>
        <v>27.7</v>
      </c>
      <c r="E7" s="8" t="s">
        <v>169</v>
      </c>
      <c r="F7" s="5" t="n">
        <f aca="false">COUNT(C4:C15)</f>
        <v>12</v>
      </c>
    </row>
    <row r="8" customFormat="false" ht="15" hidden="false" customHeight="false" outlineLevel="0" collapsed="false">
      <c r="A8" s="13" t="n">
        <v>221.5</v>
      </c>
      <c r="B8" s="13" t="n">
        <v>207.3</v>
      </c>
      <c r="C8" s="15" t="n">
        <f aca="false">B8-A8</f>
        <v>-14.2</v>
      </c>
      <c r="E8" s="8" t="s">
        <v>170</v>
      </c>
      <c r="F8" s="10" t="n">
        <f aca="false">AVERAGE(C4:C15)</f>
        <v>20.6166666666667</v>
      </c>
    </row>
    <row r="9" customFormat="false" ht="15" hidden="false" customHeight="false" outlineLevel="0" collapsed="false">
      <c r="A9" s="13" t="n">
        <v>203.9</v>
      </c>
      <c r="B9" s="13" t="n">
        <v>224.2</v>
      </c>
      <c r="C9" s="15" t="n">
        <f aca="false">B9-A9</f>
        <v>20.3</v>
      </c>
      <c r="E9" s="8" t="s">
        <v>171</v>
      </c>
      <c r="F9" s="10" t="n">
        <f aca="false">_xlfn.STDEV.S(C4:C15)</f>
        <v>17.9625283365796</v>
      </c>
    </row>
    <row r="10" customFormat="false" ht="15" hidden="false" customHeight="false" outlineLevel="0" collapsed="false">
      <c r="A10" s="13" t="n">
        <v>198.6</v>
      </c>
      <c r="B10" s="13" t="n">
        <v>226.6</v>
      </c>
      <c r="C10" s="15" t="n">
        <f aca="false">B10-A10</f>
        <v>28</v>
      </c>
      <c r="E10" s="8" t="s">
        <v>172</v>
      </c>
      <c r="F10" s="10" t="n">
        <f aca="false">F9/SQRT(F7)</f>
        <v>5.18533528522525</v>
      </c>
    </row>
    <row r="11" customFormat="false" ht="15" hidden="false" customHeight="false" outlineLevel="0" collapsed="false">
      <c r="A11" s="13" t="n">
        <v>198.5</v>
      </c>
      <c r="B11" s="13" t="n">
        <v>204.5</v>
      </c>
      <c r="C11" s="15" t="n">
        <f aca="false">B11-A11</f>
        <v>6</v>
      </c>
      <c r="E11" s="5" t="s">
        <v>141</v>
      </c>
      <c r="F11" s="5" t="n">
        <f aca="false">F7-1</f>
        <v>11</v>
      </c>
    </row>
    <row r="12" customFormat="false" ht="15" hidden="false" customHeight="false" outlineLevel="0" collapsed="false">
      <c r="A12" s="13" t="n">
        <v>208.9</v>
      </c>
      <c r="B12" s="13" t="n">
        <v>238</v>
      </c>
      <c r="C12" s="15" t="n">
        <f aca="false">B12-A12</f>
        <v>29.1</v>
      </c>
      <c r="E12" s="8" t="s">
        <v>145</v>
      </c>
      <c r="F12" s="10" t="n">
        <f aca="false">(F8-0)/F10</f>
        <v>3.97595633312477</v>
      </c>
    </row>
    <row r="13" customFormat="false" ht="15" hidden="false" customHeight="false" outlineLevel="0" collapsed="false">
      <c r="A13" s="13" t="n">
        <v>212.3</v>
      </c>
      <c r="B13" s="13" t="n">
        <v>240.1</v>
      </c>
      <c r="C13" s="15" t="n">
        <f aca="false">B13-A13</f>
        <v>27.8</v>
      </c>
      <c r="E13" s="8" t="s">
        <v>149</v>
      </c>
      <c r="F13" s="10" t="n">
        <f aca="false">_xlfn.T.INV(1-F6,F11)</f>
        <v>1.79588481870404</v>
      </c>
    </row>
    <row r="14" customFormat="false" ht="15" hidden="false" customHeight="false" outlineLevel="0" collapsed="false">
      <c r="A14" s="13" t="n">
        <v>213.6</v>
      </c>
      <c r="B14" s="13" t="n">
        <v>246</v>
      </c>
      <c r="C14" s="15" t="n">
        <f aca="false">B14-A14</f>
        <v>32.4</v>
      </c>
      <c r="E14" s="8" t="s">
        <v>151</v>
      </c>
      <c r="F14" s="14" t="n">
        <f aca="false">_xlfn.T.DIST.RT(F12,F11)</f>
        <v>0.00108690400975988</v>
      </c>
    </row>
    <row r="15" customFormat="false" ht="15" hidden="false" customHeight="false" outlineLevel="0" collapsed="false">
      <c r="A15" s="13" t="n">
        <v>225.1</v>
      </c>
      <c r="B15" s="13" t="n">
        <v>272</v>
      </c>
      <c r="C15" s="15" t="n">
        <f aca="false">B15-A15</f>
        <v>46.9</v>
      </c>
      <c r="E15" s="8" t="s">
        <v>128</v>
      </c>
      <c r="F15" s="8" t="str">
        <f aca="false">IF(F14&lt;F6,"Rejeita H0","Não rejeita H0")</f>
        <v>Rejeita H0</v>
      </c>
    </row>
    <row r="16" customFormat="false" ht="15" hidden="false" customHeight="false" outlineLevel="0" collapsed="false">
      <c r="E16" s="5" t="s">
        <v>173</v>
      </c>
      <c r="F16" s="16" t="n">
        <f aca="false">F8-_xlfn.T.INV.2T(0.05,F11)*F10</f>
        <v>9.20382065378634</v>
      </c>
    </row>
    <row r="17" customFormat="false" ht="15" hidden="false" customHeight="false" outlineLevel="0" collapsed="false">
      <c r="E17" s="5" t="s">
        <v>174</v>
      </c>
      <c r="F17" s="16" t="n">
        <f aca="false">F8+_xlfn.T.INV.2T(0.05,F11)*F10</f>
        <v>32.029512679547</v>
      </c>
    </row>
    <row r="18" customFormat="false" ht="15" hidden="false" customHeight="false" outlineLevel="0" collapsed="false">
      <c r="E18" s="5" t="s">
        <v>175</v>
      </c>
      <c r="F18" s="14" t="n">
        <f aca="false">_xlfn.T.TEST(B4:B15,A4:A15,1,1)</f>
        <v>0.00108690400975988</v>
      </c>
    </row>
    <row r="19" customFormat="false" ht="23.85" hidden="false" customHeight="false" outlineLevel="0" collapsed="false">
      <c r="E19" s="5" t="s">
        <v>176</v>
      </c>
      <c r="F19" s="6" t="s">
        <v>177</v>
      </c>
    </row>
    <row r="20" customFormat="false" ht="35.05" hidden="false" customHeight="false" outlineLevel="0" collapsed="false">
      <c r="E20" s="8" t="s">
        <v>129</v>
      </c>
      <c r="F20" s="6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9"/>
    <col collapsed="false" customWidth="true" hidden="false" outlineLevel="0" max="4" min="4" style="1" width="34"/>
    <col collapsed="false" customWidth="true" hidden="false" outlineLevel="0" max="5" min="5" style="1" width="44"/>
  </cols>
  <sheetData>
    <row r="1" customFormat="false" ht="199.95" hidden="false" customHeight="false" outlineLevel="0" collapsed="false">
      <c r="A1" s="7" t="s">
        <v>179</v>
      </c>
    </row>
    <row r="2" customFormat="false" ht="214.15" hidden="false" customHeight="false" outlineLevel="0" collapsed="false">
      <c r="A2" s="3" t="s">
        <v>180</v>
      </c>
    </row>
    <row r="3" customFormat="false" ht="15" hidden="false" customHeight="false" outlineLevel="0" collapsed="false">
      <c r="A3" s="8" t="s">
        <v>181</v>
      </c>
      <c r="B3" s="8" t="s">
        <v>182</v>
      </c>
    </row>
    <row r="4" customFormat="false" ht="15" hidden="false" customHeight="false" outlineLevel="0" collapsed="false">
      <c r="A4" s="13" t="n">
        <v>86</v>
      </c>
      <c r="B4" s="13" t="n">
        <v>79.1</v>
      </c>
      <c r="D4" s="8" t="s">
        <v>116</v>
      </c>
      <c r="E4" s="5" t="s">
        <v>183</v>
      </c>
    </row>
    <row r="5" customFormat="false" ht="15" hidden="false" customHeight="false" outlineLevel="0" collapsed="false">
      <c r="A5" s="13" t="n">
        <v>67</v>
      </c>
      <c r="B5" s="13" t="n">
        <v>92</v>
      </c>
      <c r="D5" s="8" t="s">
        <v>118</v>
      </c>
      <c r="E5" s="5" t="s">
        <v>184</v>
      </c>
    </row>
    <row r="6" customFormat="false" ht="15" hidden="false" customHeight="false" outlineLevel="0" collapsed="false">
      <c r="A6" s="13" t="n">
        <v>91</v>
      </c>
      <c r="B6" s="13" t="n">
        <v>76</v>
      </c>
      <c r="D6" s="8" t="s">
        <v>120</v>
      </c>
      <c r="E6" s="9" t="n">
        <v>0.05</v>
      </c>
    </row>
    <row r="7" customFormat="false" ht="15" hidden="false" customHeight="false" outlineLevel="0" collapsed="false">
      <c r="A7" s="13" t="n">
        <v>80.2</v>
      </c>
      <c r="B7" s="13" t="n">
        <v>74.4</v>
      </c>
      <c r="D7" s="5" t="s">
        <v>185</v>
      </c>
      <c r="E7" s="5" t="n">
        <f aca="false">COUNT(A4:A18)</f>
        <v>15</v>
      </c>
    </row>
    <row r="8" customFormat="false" ht="15" hidden="false" customHeight="false" outlineLevel="0" collapsed="false">
      <c r="A8" s="13" t="n">
        <v>90.7</v>
      </c>
      <c r="B8" s="13" t="n">
        <v>76.2</v>
      </c>
      <c r="D8" s="5" t="s">
        <v>186</v>
      </c>
      <c r="E8" s="5" t="n">
        <f aca="false">COUNT(B4:B21)</f>
        <v>18</v>
      </c>
    </row>
    <row r="9" customFormat="false" ht="15" hidden="false" customHeight="false" outlineLevel="0" collapsed="false">
      <c r="A9" s="13" t="n">
        <v>84.2</v>
      </c>
      <c r="B9" s="13" t="n">
        <v>64.1</v>
      </c>
      <c r="D9" s="5" t="s">
        <v>187</v>
      </c>
      <c r="E9" s="10" t="n">
        <f aca="false">AVERAGE(A4:A18)</f>
        <v>81.7733333333333</v>
      </c>
    </row>
    <row r="10" customFormat="false" ht="15" hidden="false" customHeight="false" outlineLevel="0" collapsed="false">
      <c r="A10" s="13" t="n">
        <v>68.6</v>
      </c>
      <c r="B10" s="13" t="n">
        <v>78.6</v>
      </c>
      <c r="D10" s="5" t="s">
        <v>188</v>
      </c>
      <c r="E10" s="10" t="n">
        <f aca="false">AVERAGE(B4:B21)</f>
        <v>89.6222222222222</v>
      </c>
    </row>
    <row r="11" customFormat="false" ht="15" hidden="false" customHeight="false" outlineLevel="0" collapsed="false">
      <c r="A11" s="13" t="n">
        <v>76</v>
      </c>
      <c r="B11" s="13" t="n">
        <v>102.5</v>
      </c>
      <c r="D11" s="5" t="s">
        <v>189</v>
      </c>
      <c r="E11" s="10" t="n">
        <f aca="false">_xlfn.STDEV.S(A4:A18)</f>
        <v>10.2961481470823</v>
      </c>
    </row>
    <row r="12" customFormat="false" ht="15" hidden="false" customHeight="false" outlineLevel="0" collapsed="false">
      <c r="A12" s="13" t="n">
        <v>86.1</v>
      </c>
      <c r="B12" s="13" t="n">
        <v>85.6</v>
      </c>
      <c r="D12" s="5" t="s">
        <v>190</v>
      </c>
      <c r="E12" s="10" t="n">
        <f aca="false">_xlfn.STDEV.S(B4:B21)</f>
        <v>15.2597338484058</v>
      </c>
    </row>
    <row r="13" customFormat="false" ht="15" hidden="false" customHeight="false" outlineLevel="0" collapsed="false">
      <c r="A13" s="13" t="n">
        <v>84</v>
      </c>
      <c r="B13" s="13" t="n">
        <v>103.5</v>
      </c>
      <c r="D13" s="8" t="s">
        <v>191</v>
      </c>
      <c r="E13" s="10" t="n">
        <f aca="false">SQRT(E11^2/E7+E12^2/E8)</f>
        <v>4.47258486736562</v>
      </c>
    </row>
    <row r="14" customFormat="false" ht="15" hidden="false" customHeight="false" outlineLevel="0" collapsed="false">
      <c r="A14" s="13" t="n">
        <v>60.3</v>
      </c>
      <c r="B14" s="13" t="n">
        <v>87.9</v>
      </c>
      <c r="D14" s="8" t="s">
        <v>145</v>
      </c>
      <c r="E14" s="10" t="n">
        <f aca="false">(E9-E10)/E13</f>
        <v>-1.7548887548582</v>
      </c>
    </row>
    <row r="15" customFormat="false" ht="15" hidden="false" customHeight="false" outlineLevel="0" collapsed="false">
      <c r="A15" s="13" t="n">
        <v>85.1</v>
      </c>
      <c r="B15" s="13" t="n">
        <v>90.9</v>
      </c>
      <c r="D15" s="5" t="s">
        <v>192</v>
      </c>
      <c r="E15" s="16" t="n">
        <f aca="false">E13^4/((E11^2/E7)^2/(E7-1)+(E12^2/E8)^2/(E8-1))</f>
        <v>29.8355532961492</v>
      </c>
    </row>
    <row r="16" customFormat="false" ht="15" hidden="false" customHeight="false" outlineLevel="0" collapsed="false">
      <c r="A16" s="13" t="n">
        <v>86.6</v>
      </c>
      <c r="B16" s="13" t="n">
        <v>104.9</v>
      </c>
      <c r="D16" s="8" t="s">
        <v>147</v>
      </c>
      <c r="E16" s="10" t="n">
        <f aca="false">_xlfn.T.INV.2T(E6,E15)</f>
        <v>2.04522964213271</v>
      </c>
    </row>
    <row r="17" customFormat="false" ht="15" hidden="false" customHeight="false" outlineLevel="0" collapsed="false">
      <c r="A17" s="13" t="n">
        <v>100.4</v>
      </c>
      <c r="B17" s="13" t="n">
        <v>96.3</v>
      </c>
      <c r="D17" s="8" t="s">
        <v>148</v>
      </c>
      <c r="E17" s="14" t="n">
        <f aca="false">_xlfn.T.DIST.2T(ABS(E14),E15)</f>
        <v>0.0898396144041495</v>
      </c>
    </row>
    <row r="18" customFormat="false" ht="15" hidden="false" customHeight="false" outlineLevel="0" collapsed="false">
      <c r="A18" s="13" t="n">
        <v>80.4</v>
      </c>
      <c r="B18" s="13" t="n">
        <v>81.6</v>
      </c>
      <c r="D18" s="8" t="s">
        <v>128</v>
      </c>
      <c r="E18" s="8" t="str">
        <f aca="false">IF(E17&lt;E6,"Rejeita H0","Não rejeita H0")</f>
        <v>Não rejeita H0</v>
      </c>
    </row>
    <row r="19" customFormat="false" ht="15" hidden="false" customHeight="false" outlineLevel="0" collapsed="false">
      <c r="B19" s="13" t="n">
        <v>111.1</v>
      </c>
      <c r="D19" s="5" t="s">
        <v>193</v>
      </c>
      <c r="E19" s="14" t="n">
        <f aca="false">_xlfn.T.TEST(A4:A18,B4:B21,2,3)</f>
        <v>0.0895439819801101</v>
      </c>
    </row>
    <row r="20" customFormat="false" ht="23.85" hidden="false" customHeight="false" outlineLevel="0" collapsed="false">
      <c r="B20" s="13" t="n">
        <v>125</v>
      </c>
      <c r="D20" s="5" t="s">
        <v>194</v>
      </c>
      <c r="E20" s="6" t="s">
        <v>195</v>
      </c>
    </row>
    <row r="21" customFormat="false" ht="35.05" hidden="false" customHeight="false" outlineLevel="0" collapsed="false">
      <c r="B21" s="13" t="n">
        <v>83.5</v>
      </c>
      <c r="D21" s="8" t="s">
        <v>129</v>
      </c>
      <c r="E21" s="6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3" style="1" width="36"/>
    <col collapsed="false" customWidth="true" hidden="false" outlineLevel="0" max="4" min="4" style="1" width="60"/>
  </cols>
  <sheetData>
    <row r="1" customFormat="false" ht="185.8" hidden="false" customHeight="false" outlineLevel="0" collapsed="false">
      <c r="A1" s="7" t="s">
        <v>197</v>
      </c>
    </row>
    <row r="2" customFormat="false" ht="214.15" hidden="false" customHeight="false" outlineLevel="0" collapsed="false">
      <c r="A2" s="3" t="s">
        <v>198</v>
      </c>
    </row>
    <row r="4" customFormat="false" ht="15" hidden="false" customHeight="false" outlineLevel="0" collapsed="false">
      <c r="C4" s="8" t="s">
        <v>116</v>
      </c>
      <c r="D4" s="5" t="s">
        <v>199</v>
      </c>
    </row>
    <row r="5" customFormat="false" ht="15" hidden="false" customHeight="false" outlineLevel="0" collapsed="false">
      <c r="C5" s="8" t="s">
        <v>118</v>
      </c>
      <c r="D5" s="5" t="s">
        <v>200</v>
      </c>
    </row>
    <row r="6" customFormat="false" ht="15" hidden="false" customHeight="false" outlineLevel="0" collapsed="false">
      <c r="C6" s="8" t="s">
        <v>120</v>
      </c>
      <c r="D6" s="9" t="n">
        <v>0.05</v>
      </c>
    </row>
    <row r="7" customFormat="false" ht="15" hidden="false" customHeight="false" outlineLevel="0" collapsed="false">
      <c r="C7" s="5" t="s">
        <v>201</v>
      </c>
      <c r="D7" s="9" t="n">
        <v>100</v>
      </c>
    </row>
    <row r="8" customFormat="false" ht="15" hidden="false" customHeight="false" outlineLevel="0" collapsed="false">
      <c r="C8" s="5" t="s">
        <v>12</v>
      </c>
      <c r="D8" s="9" t="n">
        <v>400</v>
      </c>
    </row>
    <row r="9" customFormat="false" ht="15" hidden="false" customHeight="false" outlineLevel="0" collapsed="false">
      <c r="C9" s="5" t="s">
        <v>202</v>
      </c>
      <c r="D9" s="9" t="n">
        <v>0.2</v>
      </c>
    </row>
    <row r="10" customFormat="false" ht="15" hidden="false" customHeight="false" outlineLevel="0" collapsed="false">
      <c r="C10" s="8" t="s">
        <v>203</v>
      </c>
      <c r="D10" s="10" t="n">
        <f aca="false">D7/D8</f>
        <v>0.25</v>
      </c>
    </row>
    <row r="11" customFormat="false" ht="15" hidden="false" customHeight="false" outlineLevel="0" collapsed="false">
      <c r="C11" s="8" t="s">
        <v>204</v>
      </c>
      <c r="D11" s="14" t="n">
        <f aca="false">SQRT(D9*(1-D9)/D8)</f>
        <v>0.02</v>
      </c>
    </row>
    <row r="12" customFormat="false" ht="15" hidden="false" customHeight="false" outlineLevel="0" collapsed="false">
      <c r="C12" s="8" t="s">
        <v>125</v>
      </c>
      <c r="D12" s="10" t="n">
        <f aca="false">(D10-D9)/D11</f>
        <v>2.5</v>
      </c>
    </row>
    <row r="13" customFormat="false" ht="15" hidden="false" customHeight="false" outlineLevel="0" collapsed="false">
      <c r="C13" s="8" t="s">
        <v>126</v>
      </c>
      <c r="D13" s="10" t="n">
        <f aca="false">_xlfn.NORM.S.INV(1-D6)</f>
        <v>1.64485362695147</v>
      </c>
    </row>
    <row r="14" customFormat="false" ht="15" hidden="false" customHeight="false" outlineLevel="0" collapsed="false">
      <c r="C14" s="8" t="s">
        <v>151</v>
      </c>
      <c r="D14" s="14" t="n">
        <f aca="false">1-_xlfn.NORM.S.DIST(D12,TRUE())</f>
        <v>0.00620966532577616</v>
      </c>
    </row>
    <row r="15" customFormat="false" ht="15" hidden="false" customHeight="false" outlineLevel="0" collapsed="false">
      <c r="C15" s="8" t="s">
        <v>128</v>
      </c>
      <c r="D15" s="8" t="str">
        <f aca="false">IF(D14&lt;D6,"Rejeita H0","Não rejeita H0")</f>
        <v>Rejeita H0</v>
      </c>
    </row>
    <row r="16" customFormat="false" ht="15" hidden="false" customHeight="false" outlineLevel="0" collapsed="false">
      <c r="C16" s="5" t="s">
        <v>205</v>
      </c>
      <c r="D16" s="14" t="n">
        <f aca="false">SQRT(D10*(1-D10)/D8)</f>
        <v>0.021650635094611</v>
      </c>
    </row>
    <row r="17" customFormat="false" ht="15" hidden="false" customHeight="false" outlineLevel="0" collapsed="false">
      <c r="C17" s="5" t="s">
        <v>206</v>
      </c>
      <c r="D17" s="10" t="n">
        <f aca="false">(D10-D9)/D16</f>
        <v>2.3094010767585</v>
      </c>
    </row>
    <row r="18" customFormat="false" ht="23.85" hidden="false" customHeight="false" outlineLevel="0" collapsed="false">
      <c r="C18" s="8" t="s">
        <v>129</v>
      </c>
      <c r="D18" s="6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7" min="7" style="1" width="32"/>
    <col collapsed="false" customWidth="true" hidden="false" outlineLevel="0" max="8" min="8" style="1" width="46"/>
  </cols>
  <sheetData>
    <row r="1" customFormat="false" ht="129.1" hidden="false" customHeight="false" outlineLevel="0" collapsed="false">
      <c r="A1" s="7" t="s">
        <v>208</v>
      </c>
    </row>
    <row r="2" customFormat="false" ht="124.6" hidden="false" customHeight="false" outlineLevel="0" collapsed="false">
      <c r="A2" s="3" t="s">
        <v>209</v>
      </c>
    </row>
    <row r="3" customFormat="false" ht="15" hidden="false" customHeight="false" outlineLevel="0" collapsed="false">
      <c r="A3" s="4" t="s">
        <v>210</v>
      </c>
      <c r="B3" s="4" t="s">
        <v>211</v>
      </c>
      <c r="C3" s="4" t="s">
        <v>212</v>
      </c>
      <c r="D3" s="4" t="s">
        <v>213</v>
      </c>
      <c r="E3" s="4" t="s">
        <v>214</v>
      </c>
    </row>
    <row r="4" customFormat="false" ht="15" hidden="false" customHeight="false" outlineLevel="0" collapsed="false">
      <c r="A4" s="5" t="s">
        <v>215</v>
      </c>
      <c r="B4" s="9" t="n">
        <v>100</v>
      </c>
      <c r="C4" s="9" t="n">
        <v>0.45</v>
      </c>
      <c r="D4" s="16" t="n">
        <f aca="false">C4*$B$7</f>
        <v>90</v>
      </c>
      <c r="E4" s="14" t="n">
        <f aca="false">(B4-D4)^2/D4</f>
        <v>1.11111111111111</v>
      </c>
      <c r="G4" s="8" t="s">
        <v>116</v>
      </c>
      <c r="H4" s="5" t="s">
        <v>216</v>
      </c>
    </row>
    <row r="5" customFormat="false" ht="15" hidden="false" customHeight="false" outlineLevel="0" collapsed="false">
      <c r="A5" s="5" t="s">
        <v>217</v>
      </c>
      <c r="B5" s="9" t="n">
        <v>60</v>
      </c>
      <c r="C5" s="9" t="n">
        <v>0.35</v>
      </c>
      <c r="D5" s="16" t="n">
        <f aca="false">C5*$B$7</f>
        <v>70</v>
      </c>
      <c r="E5" s="14" t="n">
        <f aca="false">(B5-D5)^2/D5</f>
        <v>1.42857142857143</v>
      </c>
      <c r="G5" s="8" t="s">
        <v>118</v>
      </c>
      <c r="H5" s="5" t="s">
        <v>218</v>
      </c>
    </row>
    <row r="6" customFormat="false" ht="15" hidden="false" customHeight="false" outlineLevel="0" collapsed="false">
      <c r="A6" s="5" t="s">
        <v>219</v>
      </c>
      <c r="B6" s="9" t="n">
        <v>40</v>
      </c>
      <c r="C6" s="9" t="n">
        <v>0.2</v>
      </c>
      <c r="D6" s="16" t="n">
        <f aca="false">C6*$B$7</f>
        <v>40</v>
      </c>
      <c r="E6" s="14" t="n">
        <f aca="false">(B6-D6)^2/D6</f>
        <v>0</v>
      </c>
      <c r="G6" s="8" t="s">
        <v>120</v>
      </c>
      <c r="H6" s="9" t="n">
        <v>0.05</v>
      </c>
    </row>
    <row r="7" customFormat="false" ht="15" hidden="false" customHeight="false" outlineLevel="0" collapsed="false">
      <c r="A7" s="8" t="s">
        <v>220</v>
      </c>
      <c r="B7" s="5" t="n">
        <f aca="false">SUM(B4:B6)</f>
        <v>200</v>
      </c>
      <c r="C7" s="5" t="n">
        <f aca="false">SUM(C4:C6)</f>
        <v>1</v>
      </c>
      <c r="D7" s="5" t="n">
        <f aca="false">SUM(D4:D6)</f>
        <v>200</v>
      </c>
      <c r="G7" s="8" t="s">
        <v>221</v>
      </c>
      <c r="H7" s="10" t="n">
        <f aca="false">SUM(E4:E6)</f>
        <v>2.53968253968254</v>
      </c>
    </row>
    <row r="8" customFormat="false" ht="15" hidden="false" customHeight="false" outlineLevel="0" collapsed="false">
      <c r="G8" s="5" t="s">
        <v>222</v>
      </c>
      <c r="H8" s="5" t="n">
        <f aca="false">COUNT(B4:B6)-1</f>
        <v>2</v>
      </c>
    </row>
    <row r="9" customFormat="false" ht="15" hidden="false" customHeight="false" outlineLevel="0" collapsed="false">
      <c r="G9" s="8" t="s">
        <v>223</v>
      </c>
      <c r="H9" s="10" t="n">
        <f aca="false">_xlfn.CHISQ.INV.RT(H6,H8)</f>
        <v>5.99146454710798</v>
      </c>
    </row>
    <row r="10" customFormat="false" ht="15" hidden="false" customHeight="false" outlineLevel="0" collapsed="false">
      <c r="G10" s="8" t="s">
        <v>224</v>
      </c>
      <c r="H10" s="14" t="n">
        <f aca="false">_xlfn.CHISQ.DIST.RT(H7,H8)</f>
        <v>0.280876201764282</v>
      </c>
    </row>
    <row r="11" customFormat="false" ht="15" hidden="false" customHeight="false" outlineLevel="0" collapsed="false">
      <c r="G11" s="8" t="s">
        <v>128</v>
      </c>
      <c r="H11" s="8" t="str">
        <f aca="false">IF(H10&lt;H6,"Rejeita H0","Não rejeita H0")</f>
        <v>Não rejeita H0</v>
      </c>
    </row>
    <row r="12" customFormat="false" ht="15" hidden="false" customHeight="false" outlineLevel="0" collapsed="false">
      <c r="G12" s="5" t="s">
        <v>225</v>
      </c>
      <c r="H12" s="14" t="n">
        <f aca="false">_xlfn.CHISQ.TEST(B4:B6,D4:D6)</f>
        <v>0.280876201764282</v>
      </c>
    </row>
    <row r="13" customFormat="false" ht="35.05" hidden="false" customHeight="false" outlineLevel="0" collapsed="false">
      <c r="G13" s="8" t="s">
        <v>129</v>
      </c>
      <c r="H13" s="6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3"/>
    <col collapsed="false" customWidth="true" hidden="false" outlineLevel="0" max="4" min="4" style="1" width="12"/>
    <col collapsed="false" customWidth="true" hidden="false" outlineLevel="0" max="6" min="6" style="1" width="30"/>
    <col collapsed="false" customWidth="true" hidden="false" outlineLevel="0" max="7" min="7" style="1" width="52"/>
  </cols>
  <sheetData>
    <row r="1" customFormat="false" ht="72.35" hidden="false" customHeight="false" outlineLevel="0" collapsed="false">
      <c r="A1" s="7" t="s">
        <v>227</v>
      </c>
    </row>
    <row r="2" customFormat="false" ht="57.45" hidden="false" customHeight="false" outlineLevel="0" collapsed="false">
      <c r="A2" s="3" t="s">
        <v>228</v>
      </c>
    </row>
    <row r="3" customFormat="false" ht="15" hidden="false" customHeight="false" outlineLevel="0" collapsed="false">
      <c r="A3" s="8" t="s">
        <v>229</v>
      </c>
      <c r="B3" s="8" t="s">
        <v>230</v>
      </c>
      <c r="C3" s="8" t="s">
        <v>231</v>
      </c>
      <c r="D3" s="8" t="s">
        <v>232</v>
      </c>
    </row>
    <row r="4" customFormat="false" ht="15" hidden="false" customHeight="false" outlineLevel="0" collapsed="false">
      <c r="A4" s="5" t="s">
        <v>233</v>
      </c>
      <c r="B4" s="9" t="n">
        <v>48</v>
      </c>
      <c r="C4" s="9" t="n">
        <v>72</v>
      </c>
      <c r="D4" s="5" t="n">
        <f aca="false">SUM(B4:C4)</f>
        <v>120</v>
      </c>
      <c r="F4" s="8" t="s">
        <v>116</v>
      </c>
      <c r="G4" s="5" t="s">
        <v>234</v>
      </c>
    </row>
    <row r="5" customFormat="false" ht="15" hidden="false" customHeight="false" outlineLevel="0" collapsed="false">
      <c r="A5" s="5" t="s">
        <v>235</v>
      </c>
      <c r="B5" s="9" t="n">
        <v>30</v>
      </c>
      <c r="C5" s="9" t="n">
        <v>90</v>
      </c>
      <c r="D5" s="5" t="n">
        <f aca="false">SUM(B5:C5)</f>
        <v>120</v>
      </c>
      <c r="F5" s="8" t="s">
        <v>118</v>
      </c>
      <c r="G5" s="5" t="s">
        <v>236</v>
      </c>
    </row>
    <row r="6" customFormat="false" ht="15" hidden="false" customHeight="false" outlineLevel="0" collapsed="false">
      <c r="A6" s="5" t="s">
        <v>237</v>
      </c>
      <c r="B6" s="9" t="n">
        <v>40</v>
      </c>
      <c r="C6" s="9" t="n">
        <v>40</v>
      </c>
      <c r="D6" s="5" t="n">
        <f aca="false">SUM(B6:C6)</f>
        <v>80</v>
      </c>
      <c r="F6" s="8" t="s">
        <v>120</v>
      </c>
      <c r="G6" s="9" t="n">
        <v>0.05</v>
      </c>
    </row>
    <row r="7" customFormat="false" ht="15" hidden="false" customHeight="false" outlineLevel="0" collapsed="false">
      <c r="A7" s="8" t="s">
        <v>238</v>
      </c>
      <c r="B7" s="5" t="n">
        <f aca="false">SUM(B4:B6)</f>
        <v>118</v>
      </c>
      <c r="C7" s="5" t="n">
        <f aca="false">SUM(C4:C6)</f>
        <v>202</v>
      </c>
      <c r="D7" s="5" t="n">
        <f aca="false">SUM(D4:D6)</f>
        <v>320</v>
      </c>
      <c r="F7" s="8" t="s">
        <v>239</v>
      </c>
      <c r="G7" s="10" t="n">
        <f aca="false">SUM(B16:C18)</f>
        <v>13.6935727471052</v>
      </c>
    </row>
    <row r="8" customFormat="false" ht="15" hidden="false" customHeight="false" outlineLevel="0" collapsed="false">
      <c r="F8" s="5" t="s">
        <v>240</v>
      </c>
      <c r="G8" s="5" t="n">
        <f aca="false">(ROWS(B4:C6)-1)*(COLUMNS(B4:C6)-1)</f>
        <v>2</v>
      </c>
    </row>
    <row r="9" customFormat="false" ht="15" hidden="false" customHeight="false" outlineLevel="0" collapsed="false">
      <c r="A9" s="8" t="s">
        <v>241</v>
      </c>
      <c r="B9" s="8" t="s">
        <v>230</v>
      </c>
      <c r="C9" s="8" t="s">
        <v>231</v>
      </c>
      <c r="F9" s="8" t="s">
        <v>242</v>
      </c>
      <c r="G9" s="10" t="n">
        <f aca="false">_xlfn.CHISQ.INV.RT(G6,G8)</f>
        <v>5.99146454710798</v>
      </c>
    </row>
    <row r="10" customFormat="false" ht="15" hidden="false" customHeight="false" outlineLevel="0" collapsed="false">
      <c r="A10" s="5" t="s">
        <v>233</v>
      </c>
      <c r="B10" s="16" t="n">
        <f aca="false">$D$4*B$7/$D$7</f>
        <v>44.25</v>
      </c>
      <c r="C10" s="16" t="n">
        <f aca="false">$D$4*C$7/$D$7</f>
        <v>75.75</v>
      </c>
      <c r="F10" s="8" t="s">
        <v>224</v>
      </c>
      <c r="G10" s="14" t="n">
        <f aca="false">_xlfn.CHISQ.DIST.RT(G7,G8)</f>
        <v>0.00106286586431584</v>
      </c>
    </row>
    <row r="11" customFormat="false" ht="15" hidden="false" customHeight="false" outlineLevel="0" collapsed="false">
      <c r="A11" s="5" t="s">
        <v>235</v>
      </c>
      <c r="B11" s="16" t="n">
        <f aca="false">$D$5*B$7/$D$7</f>
        <v>44.25</v>
      </c>
      <c r="C11" s="16" t="n">
        <f aca="false">$D$5*C$7/$D$7</f>
        <v>75.75</v>
      </c>
      <c r="F11" s="8" t="s">
        <v>128</v>
      </c>
      <c r="G11" s="8" t="str">
        <f aca="false">IF(G10&lt;G6,"Rejeita H0","Não rejeita H0")</f>
        <v>Rejeita H0</v>
      </c>
    </row>
    <row r="12" customFormat="false" ht="15" hidden="false" customHeight="false" outlineLevel="0" collapsed="false">
      <c r="A12" s="5" t="s">
        <v>237</v>
      </c>
      <c r="B12" s="16" t="n">
        <f aca="false">$D$6*B$7/$D$7</f>
        <v>29.5</v>
      </c>
      <c r="C12" s="16" t="n">
        <f aca="false">$D$6*C$7/$D$7</f>
        <v>50.5</v>
      </c>
      <c r="F12" s="5" t="s">
        <v>225</v>
      </c>
      <c r="G12" s="14" t="n">
        <f aca="false">_xlfn.CHISQ.TEST(B4:C6,B10:C12)</f>
        <v>0.00106286586431584</v>
      </c>
    </row>
    <row r="13" customFormat="false" ht="15" hidden="false" customHeight="false" outlineLevel="0" collapsed="false">
      <c r="F13" s="5" t="s">
        <v>243</v>
      </c>
      <c r="G13" s="16" t="n">
        <f aca="false">MIN(B10:C12)</f>
        <v>29.5</v>
      </c>
    </row>
    <row r="14" customFormat="false" ht="23.85" hidden="false" customHeight="false" outlineLevel="0" collapsed="false">
      <c r="F14" s="8" t="s">
        <v>129</v>
      </c>
      <c r="G14" s="6" t="s">
        <v>244</v>
      </c>
    </row>
    <row r="15" customFormat="false" ht="15" hidden="false" customHeight="false" outlineLevel="0" collapsed="false">
      <c r="A15" s="8" t="s">
        <v>214</v>
      </c>
      <c r="B15" s="8" t="s">
        <v>230</v>
      </c>
      <c r="C15" s="8" t="s">
        <v>231</v>
      </c>
    </row>
    <row r="16" customFormat="false" ht="15" hidden="false" customHeight="false" outlineLevel="0" collapsed="false">
      <c r="A16" s="5" t="s">
        <v>233</v>
      </c>
      <c r="B16" s="14" t="n">
        <f aca="false">(B4-B10)^2/B10</f>
        <v>0.317796610169492</v>
      </c>
      <c r="C16" s="14" t="n">
        <f aca="false">(C4-C10)^2/C10</f>
        <v>0.185643564356436</v>
      </c>
    </row>
    <row r="17" customFormat="false" ht="15" hidden="false" customHeight="false" outlineLevel="0" collapsed="false">
      <c r="A17" s="5" t="s">
        <v>235</v>
      </c>
      <c r="B17" s="14" t="n">
        <f aca="false">(B5-B11)^2/B11</f>
        <v>4.58898305084746</v>
      </c>
      <c r="C17" s="14" t="n">
        <f aca="false">(C5-C11)^2/C11</f>
        <v>2.68069306930693</v>
      </c>
    </row>
    <row r="18" customFormat="false" ht="15" hidden="false" customHeight="false" outlineLevel="0" collapsed="false">
      <c r="A18" s="5" t="s">
        <v>237</v>
      </c>
      <c r="B18" s="14" t="n">
        <f aca="false">(B6-B12)^2/B12</f>
        <v>3.73728813559322</v>
      </c>
      <c r="C18" s="14" t="n">
        <f aca="false">(C6-C12)^2/C12</f>
        <v>2.18316831683168</v>
      </c>
    </row>
    <row r="21" customFormat="false" ht="15" hidden="false" customHeight="false" outlineLevel="0" collapsed="false">
      <c r="A21" s="8" t="s">
        <v>245</v>
      </c>
      <c r="B21" s="8" t="s">
        <v>230</v>
      </c>
      <c r="C21" s="8" t="s">
        <v>231</v>
      </c>
    </row>
    <row r="22" customFormat="false" ht="15" hidden="false" customHeight="false" outlineLevel="0" collapsed="false">
      <c r="A22" s="5" t="s">
        <v>233</v>
      </c>
      <c r="B22" s="16" t="n">
        <f aca="false">(B4-B10)/SQRT(B10)</f>
        <v>0.563734521002122</v>
      </c>
      <c r="C22" s="16" t="n">
        <f aca="false">(C4-C10)/SQRT(C10)</f>
        <v>-0.43086374221607</v>
      </c>
    </row>
    <row r="23" customFormat="false" ht="15" hidden="false" customHeight="false" outlineLevel="0" collapsed="false">
      <c r="A23" s="5" t="s">
        <v>235</v>
      </c>
      <c r="B23" s="16" t="n">
        <f aca="false">(B5-B11)/SQRT(B11)</f>
        <v>-2.14219117980806</v>
      </c>
      <c r="C23" s="16" t="n">
        <f aca="false">(C5-C11)/SQRT(C11)</f>
        <v>1.63728222042106</v>
      </c>
    </row>
    <row r="24" customFormat="false" ht="15" hidden="false" customHeight="false" outlineLevel="0" collapsed="false">
      <c r="A24" s="5" t="s">
        <v>237</v>
      </c>
      <c r="B24" s="16" t="n">
        <f aca="false">(B6-B12)/SQRT(B12)</f>
        <v>1.93320669758648</v>
      </c>
      <c r="C24" s="16" t="n">
        <f aca="false">(C6-C12)/SQRT(C12)</f>
        <v>-1.47755484393361</v>
      </c>
    </row>
    <row r="26" customFormat="false" ht="15" hidden="false" customHeight="false" outlineLevel="0" collapsed="false">
      <c r="A26" s="8" t="s">
        <v>246</v>
      </c>
    </row>
    <row r="27" customFormat="false" ht="15" hidden="false" customHeight="false" outlineLevel="0" collapsed="false">
      <c r="A27" s="5" t="s">
        <v>233</v>
      </c>
      <c r="B27" s="17" t="n">
        <f aca="false">B4/D4</f>
        <v>0.4</v>
      </c>
    </row>
    <row r="28" customFormat="false" ht="15" hidden="false" customHeight="false" outlineLevel="0" collapsed="false">
      <c r="A28" s="5" t="s">
        <v>235</v>
      </c>
      <c r="B28" s="17" t="n">
        <f aca="false">B5/D5</f>
        <v>0.25</v>
      </c>
    </row>
    <row r="29" customFormat="false" ht="15" hidden="false" customHeight="false" outlineLevel="0" collapsed="false">
      <c r="A29" s="5" t="s">
        <v>237</v>
      </c>
      <c r="B29" s="17" t="n">
        <f aca="false">B6/D6</f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7" min="6" style="1" width="10"/>
    <col collapsed="false" customWidth="true" hidden="false" outlineLevel="0" max="10" min="9" style="1" width="10"/>
    <col collapsed="false" customWidth="true" hidden="false" outlineLevel="0" max="12" min="12" style="1" width="10"/>
    <col collapsed="false" customWidth="true" hidden="false" outlineLevel="0" max="13" min="13" style="1" width="12"/>
  </cols>
  <sheetData>
    <row r="1" customFormat="false" ht="100.7" hidden="false" customHeight="false" outlineLevel="0" collapsed="false">
      <c r="A1" s="7" t="s">
        <v>247</v>
      </c>
    </row>
    <row r="2" customFormat="false" ht="147" hidden="false" customHeight="false" outlineLevel="0" collapsed="false">
      <c r="A2" s="3" t="s">
        <v>248</v>
      </c>
    </row>
    <row r="3" customFormat="false" ht="113.4" hidden="false" customHeight="false" outlineLevel="0" collapsed="false">
      <c r="A3" s="12" t="s">
        <v>249</v>
      </c>
      <c r="C3" s="8" t="s">
        <v>250</v>
      </c>
      <c r="F3" s="12" t="s">
        <v>251</v>
      </c>
      <c r="I3" s="12" t="s">
        <v>252</v>
      </c>
      <c r="L3" s="12" t="s">
        <v>253</v>
      </c>
    </row>
    <row r="4" customFormat="false" ht="15" hidden="false" customHeight="false" outlineLevel="0" collapsed="false">
      <c r="A4" s="8" t="s">
        <v>254</v>
      </c>
      <c r="C4" s="5" t="s">
        <v>255</v>
      </c>
      <c r="D4" s="9" t="n">
        <v>90</v>
      </c>
      <c r="F4" s="8" t="s">
        <v>164</v>
      </c>
      <c r="G4" s="8" t="s">
        <v>165</v>
      </c>
      <c r="I4" s="8" t="s">
        <v>256</v>
      </c>
      <c r="J4" s="8" t="s">
        <v>257</v>
      </c>
      <c r="L4" s="8" t="s">
        <v>258</v>
      </c>
      <c r="M4" s="8" t="s">
        <v>229</v>
      </c>
    </row>
    <row r="5" customFormat="false" ht="15" hidden="false" customHeight="false" outlineLevel="0" collapsed="false">
      <c r="A5" s="13" t="n">
        <v>9.7</v>
      </c>
      <c r="C5" s="5" t="s">
        <v>259</v>
      </c>
      <c r="D5" s="9" t="n">
        <v>250</v>
      </c>
      <c r="F5" s="13" t="n">
        <v>35.6</v>
      </c>
      <c r="G5" s="13" t="n">
        <v>33.2</v>
      </c>
      <c r="I5" s="13" t="n">
        <v>5.9</v>
      </c>
      <c r="J5" s="13" t="n">
        <v>7.3</v>
      </c>
      <c r="L5" s="5" t="s">
        <v>260</v>
      </c>
      <c r="M5" s="9" t="n">
        <v>18</v>
      </c>
    </row>
    <row r="6" customFormat="false" ht="15" hidden="false" customHeight="false" outlineLevel="0" collapsed="false">
      <c r="A6" s="13" t="n">
        <v>10.2</v>
      </c>
      <c r="C6" s="5" t="s">
        <v>261</v>
      </c>
      <c r="D6" s="9" t="n">
        <v>0.3</v>
      </c>
      <c r="F6" s="13" t="n">
        <v>26.5</v>
      </c>
      <c r="G6" s="13" t="n">
        <v>26.3</v>
      </c>
      <c r="I6" s="13" t="n">
        <v>8.3</v>
      </c>
      <c r="J6" s="13" t="n">
        <v>8.2</v>
      </c>
      <c r="L6" s="5" t="s">
        <v>262</v>
      </c>
      <c r="M6" s="9" t="n">
        <v>22</v>
      </c>
    </row>
    <row r="7" customFormat="false" ht="15" hidden="false" customHeight="false" outlineLevel="0" collapsed="false">
      <c r="A7" s="13" t="n">
        <v>10.4</v>
      </c>
      <c r="F7" s="13" t="n">
        <v>29.3</v>
      </c>
      <c r="G7" s="13" t="n">
        <v>23.4</v>
      </c>
      <c r="I7" s="13" t="n">
        <v>10</v>
      </c>
      <c r="J7" s="13" t="n">
        <v>7</v>
      </c>
      <c r="L7" s="5" t="s">
        <v>263</v>
      </c>
      <c r="M7" s="9" t="n">
        <v>20</v>
      </c>
    </row>
    <row r="8" customFormat="false" ht="15" hidden="false" customHeight="false" outlineLevel="0" collapsed="false">
      <c r="A8" s="13" t="n">
        <v>9.9</v>
      </c>
      <c r="F8" s="13" t="n">
        <v>35.4</v>
      </c>
      <c r="G8" s="13" t="n">
        <v>30.6</v>
      </c>
      <c r="I8" s="13" t="n">
        <v>3.9</v>
      </c>
      <c r="J8" s="13" t="n">
        <v>9.4</v>
      </c>
      <c r="L8" s="5" t="s">
        <v>264</v>
      </c>
      <c r="M8" s="9" t="n">
        <v>20</v>
      </c>
    </row>
    <row r="9" customFormat="false" ht="15" hidden="false" customHeight="false" outlineLevel="0" collapsed="false">
      <c r="A9" s="13" t="n">
        <v>10.1</v>
      </c>
      <c r="F9" s="13" t="n">
        <v>23</v>
      </c>
      <c r="G9" s="13" t="n">
        <v>14.8</v>
      </c>
      <c r="I9" s="13" t="n">
        <v>7.4</v>
      </c>
      <c r="J9" s="13" t="n">
        <v>6.2</v>
      </c>
    </row>
    <row r="10" customFormat="false" ht="15" hidden="false" customHeight="false" outlineLevel="0" collapsed="false">
      <c r="A10" s="13" t="n">
        <v>10.5</v>
      </c>
      <c r="F10" s="13" t="n">
        <v>25.4</v>
      </c>
      <c r="G10" s="13" t="n">
        <v>21.7</v>
      </c>
      <c r="I10" s="13" t="n">
        <v>3.8</v>
      </c>
      <c r="J10" s="13" t="n">
        <v>9.4</v>
      </c>
    </row>
    <row r="11" customFormat="false" ht="15" hidden="false" customHeight="false" outlineLevel="0" collapsed="false">
      <c r="A11" s="13" t="n">
        <v>9.8</v>
      </c>
      <c r="F11" s="13" t="n">
        <v>39.8</v>
      </c>
      <c r="G11" s="13" t="n">
        <v>26.6</v>
      </c>
      <c r="I11" s="13" t="n">
        <v>5.5</v>
      </c>
      <c r="J11" s="13" t="n">
        <v>8.1</v>
      </c>
    </row>
    <row r="12" customFormat="false" ht="15" hidden="false" customHeight="false" outlineLevel="0" collapsed="false">
      <c r="A12" s="13" t="n">
        <v>10.3</v>
      </c>
      <c r="F12" s="13" t="n">
        <v>29.6</v>
      </c>
      <c r="G12" s="13" t="n">
        <v>27.1</v>
      </c>
      <c r="I12" s="13" t="n">
        <v>7.4</v>
      </c>
      <c r="J12" s="13" t="n">
        <v>6.9</v>
      </c>
    </row>
    <row r="13" customFormat="false" ht="15" hidden="false" customHeight="false" outlineLevel="0" collapsed="false">
      <c r="A13" s="13" t="n">
        <v>10</v>
      </c>
      <c r="F13" s="13" t="n">
        <v>29.4</v>
      </c>
      <c r="G13" s="13" t="n">
        <v>21.5</v>
      </c>
      <c r="I13" s="13" t="n">
        <v>6.3</v>
      </c>
      <c r="J13" s="13" t="n">
        <v>7.2</v>
      </c>
    </row>
    <row r="14" customFormat="false" ht="15" hidden="false" customHeight="false" outlineLevel="0" collapsed="false">
      <c r="A14" s="13" t="n">
        <v>10.2</v>
      </c>
      <c r="F14" s="13" t="n">
        <v>28.2</v>
      </c>
      <c r="G14" s="13" t="n">
        <v>15.3</v>
      </c>
      <c r="I14" s="13" t="n">
        <v>6.4</v>
      </c>
      <c r="J14" s="13" t="n">
        <v>9.4</v>
      </c>
    </row>
    <row r="15" customFormat="false" ht="15" hidden="false" customHeight="false" outlineLevel="0" collapsed="false">
      <c r="A15" s="13" t="n">
        <v>10.4</v>
      </c>
      <c r="I15" s="13" t="n">
        <v>4.5</v>
      </c>
      <c r="J15" s="13" t="n">
        <v>7.3</v>
      </c>
    </row>
    <row r="16" customFormat="false" ht="15" hidden="false" customHeight="false" outlineLevel="0" collapsed="false">
      <c r="A16" s="13" t="n">
        <v>10.1</v>
      </c>
      <c r="I16" s="13" t="n">
        <v>4.2</v>
      </c>
      <c r="J16" s="13" t="n">
        <v>6.8</v>
      </c>
    </row>
    <row r="17" customFormat="false" ht="15" hidden="false" customHeight="false" outlineLevel="0" collapsed="false">
      <c r="J17" s="13" t="n">
        <v>6.6</v>
      </c>
    </row>
    <row r="18" customFormat="false" ht="15" hidden="false" customHeight="false" outlineLevel="0" collapsed="false">
      <c r="J18" s="13" t="n">
        <v>7.1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2026-08-18T01:01:00Z</dcterms:created>
  <dc:creator>openpyxl</dc:creator>
  <dc:description/>
  <dc:language>pt-BR</dc:language>
  <cp:lastModifiedBy/>
  <dcterms:modified xsi:type="dcterms:W3CDTF">2026-08-18T01:01:00Z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