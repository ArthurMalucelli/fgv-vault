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AllFiles\00_2_2026\I6_Operações para a Competitividade\04_Aula_09_03_26\"/>
    </mc:Choice>
  </mc:AlternateContent>
  <xr:revisionPtr revIDLastSave="0" documentId="8_{FFBA0CDF-DBFF-41C9-A9B3-3D3051794DDA}" xr6:coauthVersionLast="47" xr6:coauthVersionMax="47" xr10:uidLastSave="{00000000-0000-0000-0000-000000000000}"/>
  <bookViews>
    <workbookView xWindow="-110" yWindow="-110" windowWidth="25820" windowHeight="15500" activeTab="1" xr2:uid="{BB399CE2-A872-4654-B54B-8DCE5AAB71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2" l="1"/>
  <c r="L10" i="2"/>
  <c r="X10" i="2"/>
  <c r="W10" i="2"/>
  <c r="V10" i="2"/>
  <c r="X9" i="2"/>
  <c r="W9" i="2"/>
  <c r="V9" i="2"/>
  <c r="P6" i="2"/>
  <c r="P7" i="2"/>
  <c r="M6" i="2"/>
  <c r="P5" i="2"/>
  <c r="P3" i="2"/>
  <c r="M7" i="2"/>
  <c r="M5" i="2"/>
  <c r="M3" i="2"/>
  <c r="I12" i="2"/>
  <c r="I4" i="2"/>
  <c r="I5" i="2"/>
  <c r="I6" i="2"/>
  <c r="I7" i="2"/>
  <c r="I8" i="2"/>
  <c r="I9" i="2"/>
  <c r="I10" i="2"/>
  <c r="I11" i="2"/>
  <c r="I3" i="2"/>
  <c r="H12" i="2"/>
  <c r="H4" i="2"/>
  <c r="H5" i="2"/>
  <c r="H6" i="2"/>
  <c r="H7" i="2"/>
  <c r="H8" i="2"/>
  <c r="H9" i="2"/>
  <c r="H10" i="2"/>
  <c r="H11" i="2"/>
  <c r="H3" i="2"/>
  <c r="M10" i="1"/>
  <c r="M5" i="1"/>
  <c r="M6" i="1"/>
  <c r="M7" i="1"/>
  <c r="M8" i="1"/>
  <c r="M9" i="1"/>
  <c r="M4" i="1"/>
  <c r="L10" i="1"/>
  <c r="L5" i="1"/>
  <c r="L6" i="1"/>
  <c r="L7" i="1"/>
  <c r="L8" i="1"/>
  <c r="L9" i="1"/>
  <c r="L4" i="1"/>
  <c r="K10" i="1"/>
  <c r="K5" i="1"/>
  <c r="K6" i="1"/>
  <c r="K7" i="1"/>
  <c r="K8" i="1"/>
  <c r="K9" i="1"/>
  <c r="K4" i="1"/>
</calcChain>
</file>

<file path=xl/sharedStrings.xml><?xml version="1.0" encoding="utf-8"?>
<sst xmlns="http://schemas.openxmlformats.org/spreadsheetml/2006/main" count="59" uniqueCount="44">
  <si>
    <t>Local</t>
  </si>
  <si>
    <t>Critérios</t>
  </si>
  <si>
    <t>Peso</t>
  </si>
  <si>
    <t>A</t>
  </si>
  <si>
    <t>B</t>
  </si>
  <si>
    <t>C</t>
  </si>
  <si>
    <t>Custo do local</t>
  </si>
  <si>
    <t>Impostos locais</t>
  </si>
  <si>
    <t>Disponibilidade de mão-de-obra</t>
  </si>
  <si>
    <t>Acesso a auto-estradas</t>
  </si>
  <si>
    <t>Acesso a aeroporto</t>
  </si>
  <si>
    <t>Potencial para expansão</t>
  </si>
  <si>
    <t>Escore calculado</t>
  </si>
  <si>
    <t>Critério</t>
  </si>
  <si>
    <t>Localidade X - Nota</t>
  </si>
  <si>
    <t>Localidade X - Peso x Nota</t>
  </si>
  <si>
    <t>Localidade Y - Nota</t>
  </si>
  <si>
    <t>Localidade Y - Peso x Nota</t>
  </si>
  <si>
    <t>Proximidade de Fornecedores</t>
  </si>
  <si>
    <t>Custos de Transporte</t>
  </si>
  <si>
    <t>Infraestrutura</t>
  </si>
  <si>
    <t>Disponibilidade de Mão de Obra</t>
  </si>
  <si>
    <t>Incentivos Governamentais</t>
  </si>
  <si>
    <t>Potencial de Expansão</t>
  </si>
  <si>
    <t>Qualidade de Vida na Região</t>
  </si>
  <si>
    <t>Sustentabilidade</t>
  </si>
  <si>
    <t>Segurança</t>
  </si>
  <si>
    <t>SP</t>
  </si>
  <si>
    <t>RT</t>
  </si>
  <si>
    <t>CT</t>
  </si>
  <si>
    <t>CF</t>
  </si>
  <si>
    <t>CVt</t>
  </si>
  <si>
    <t>L</t>
  </si>
  <si>
    <t>RJ</t>
  </si>
  <si>
    <t>Localidade</t>
  </si>
  <si>
    <t>Demanda (ton)</t>
  </si>
  <si>
    <t>H</t>
  </si>
  <si>
    <t>I</t>
  </si>
  <si>
    <t>J</t>
  </si>
  <si>
    <t>K</t>
  </si>
  <si>
    <t>X</t>
  </si>
  <si>
    <t>Y</t>
  </si>
  <si>
    <t>x</t>
  </si>
  <si>
    <t>PEQ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</si>
</sst>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1"/>
      <color rgb="FF3333CC"/>
      <name val="Arial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0" borderId="0" xfId="0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4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819150</xdr:colOff>
      <xdr:row>0</xdr:row>
      <xdr:rowOff>82550</xdr:rowOff>
    </xdr:from>
    <xdr:to>
      <xdr:col>25</xdr:col>
      <xdr:colOff>132715</xdr:colOff>
      <xdr:row>6</xdr:row>
      <xdr:rowOff>456565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DEFEE09-8A1A-CB22-9989-F4564B7AA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4350" y="82550"/>
          <a:ext cx="3904615" cy="30727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12EE-66AA-4B96-8850-2D34D9100BC1}">
  <dimension ref="F1:M11"/>
  <sheetViews>
    <sheetView zoomScale="120" zoomScaleNormal="120" workbookViewId="0">
      <selection activeCell="I19" sqref="I19"/>
    </sheetView>
  </sheetViews>
  <sheetFormatPr defaultRowHeight="14.5" x14ac:dyDescent="0.35"/>
  <cols>
    <col min="1" max="5" width="8.7265625" style="1"/>
    <col min="6" max="6" width="18.81640625" style="1" customWidth="1"/>
    <col min="7" max="11" width="15.36328125" style="1" customWidth="1"/>
    <col min="12" max="16384" width="8.7265625" style="1"/>
  </cols>
  <sheetData>
    <row r="1" spans="6:13" ht="15" thickBot="1" x14ac:dyDescent="0.4"/>
    <row r="2" spans="6:13" ht="15.5" thickTop="1" thickBot="1" x14ac:dyDescent="0.4">
      <c r="F2" s="2"/>
      <c r="G2" s="3"/>
      <c r="H2" s="4" t="s">
        <v>0</v>
      </c>
      <c r="I2" s="4" t="s">
        <v>0</v>
      </c>
      <c r="J2" s="5" t="s">
        <v>0</v>
      </c>
    </row>
    <row r="3" spans="6:13" ht="15" thickBot="1" x14ac:dyDescent="0.4">
      <c r="F3" s="6" t="s">
        <v>1</v>
      </c>
      <c r="G3" s="7" t="s">
        <v>2</v>
      </c>
      <c r="H3" s="7" t="s">
        <v>3</v>
      </c>
      <c r="I3" s="7" t="s">
        <v>4</v>
      </c>
      <c r="J3" s="8" t="s">
        <v>5</v>
      </c>
    </row>
    <row r="4" spans="6:13" ht="15" thickBot="1" x14ac:dyDescent="0.4">
      <c r="F4" s="9" t="s">
        <v>6</v>
      </c>
      <c r="G4" s="10">
        <v>4</v>
      </c>
      <c r="H4" s="10">
        <v>80</v>
      </c>
      <c r="I4" s="10">
        <v>65</v>
      </c>
      <c r="J4" s="11">
        <v>60</v>
      </c>
      <c r="K4" s="1">
        <f>G4*H4</f>
        <v>320</v>
      </c>
      <c r="L4" s="1">
        <f>G4*I4</f>
        <v>260</v>
      </c>
      <c r="M4" s="1">
        <f>G4*J4</f>
        <v>240</v>
      </c>
    </row>
    <row r="5" spans="6:13" ht="15" thickBot="1" x14ac:dyDescent="0.4">
      <c r="F5" s="9" t="s">
        <v>7</v>
      </c>
      <c r="G5" s="10">
        <v>2</v>
      </c>
      <c r="H5" s="10">
        <v>20</v>
      </c>
      <c r="I5" s="10">
        <v>50</v>
      </c>
      <c r="J5" s="11">
        <v>80</v>
      </c>
      <c r="K5" s="1">
        <f t="shared" ref="K5:K10" si="0">G5*H5</f>
        <v>40</v>
      </c>
      <c r="L5" s="1">
        <f t="shared" ref="L5:L9" si="1">G5*I5</f>
        <v>100</v>
      </c>
      <c r="M5" s="1">
        <f t="shared" ref="M5:M9" si="2">G5*J5</f>
        <v>160</v>
      </c>
    </row>
    <row r="6" spans="6:13" ht="28.5" thickBot="1" x14ac:dyDescent="0.4">
      <c r="F6" s="9" t="s">
        <v>8</v>
      </c>
      <c r="G6" s="10">
        <v>1</v>
      </c>
      <c r="H6" s="10">
        <v>80</v>
      </c>
      <c r="I6" s="10">
        <v>60</v>
      </c>
      <c r="J6" s="11">
        <v>40</v>
      </c>
      <c r="K6" s="1">
        <f t="shared" si="0"/>
        <v>80</v>
      </c>
      <c r="L6" s="1">
        <f t="shared" si="1"/>
        <v>60</v>
      </c>
      <c r="M6" s="1">
        <f t="shared" si="2"/>
        <v>40</v>
      </c>
    </row>
    <row r="7" spans="6:13" ht="28.5" thickBot="1" x14ac:dyDescent="0.4">
      <c r="F7" s="9" t="s">
        <v>9</v>
      </c>
      <c r="G7" s="10">
        <v>1</v>
      </c>
      <c r="H7" s="10">
        <v>50</v>
      </c>
      <c r="I7" s="10">
        <v>60</v>
      </c>
      <c r="J7" s="11">
        <v>40</v>
      </c>
      <c r="K7" s="1">
        <f t="shared" si="0"/>
        <v>50</v>
      </c>
      <c r="L7" s="1">
        <f t="shared" si="1"/>
        <v>60</v>
      </c>
      <c r="M7" s="1">
        <f t="shared" si="2"/>
        <v>40</v>
      </c>
    </row>
    <row r="8" spans="6:13" ht="15" thickBot="1" x14ac:dyDescent="0.4">
      <c r="F8" s="9" t="s">
        <v>10</v>
      </c>
      <c r="G8" s="10">
        <v>1</v>
      </c>
      <c r="H8" s="10">
        <v>20</v>
      </c>
      <c r="I8" s="10">
        <v>60</v>
      </c>
      <c r="J8" s="11">
        <v>70</v>
      </c>
      <c r="K8" s="1">
        <f t="shared" si="0"/>
        <v>20</v>
      </c>
      <c r="L8" s="1">
        <f t="shared" si="1"/>
        <v>60</v>
      </c>
      <c r="M8" s="1">
        <f t="shared" si="2"/>
        <v>70</v>
      </c>
    </row>
    <row r="9" spans="6:13" ht="28.5" thickBot="1" x14ac:dyDescent="0.4">
      <c r="F9" s="9" t="s">
        <v>11</v>
      </c>
      <c r="G9" s="10">
        <v>1</v>
      </c>
      <c r="H9" s="10">
        <v>75</v>
      </c>
      <c r="I9" s="10">
        <v>40</v>
      </c>
      <c r="J9" s="11">
        <v>55</v>
      </c>
      <c r="K9" s="1">
        <f t="shared" si="0"/>
        <v>75</v>
      </c>
      <c r="L9" s="1">
        <f t="shared" si="1"/>
        <v>40</v>
      </c>
      <c r="M9" s="1">
        <f t="shared" si="2"/>
        <v>55</v>
      </c>
    </row>
    <row r="10" spans="6:13" ht="15" thickBot="1" x14ac:dyDescent="0.4">
      <c r="F10" s="12" t="s">
        <v>12</v>
      </c>
      <c r="G10" s="13"/>
      <c r="H10" s="14">
        <v>585</v>
      </c>
      <c r="I10" s="14">
        <v>580</v>
      </c>
      <c r="J10" s="15">
        <v>605</v>
      </c>
      <c r="K10" s="1">
        <f>SUM(K4:K9)</f>
        <v>585</v>
      </c>
      <c r="L10" s="1">
        <f>SUM(L4:L9)</f>
        <v>580</v>
      </c>
      <c r="M10" s="1">
        <f>SUM(M4:M9)</f>
        <v>605</v>
      </c>
    </row>
    <row r="11" spans="6:13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89C4-ACEF-4CFD-A532-99D2DC0740F9}">
  <dimension ref="B1:X17"/>
  <sheetViews>
    <sheetView tabSelected="1" topLeftCell="E1" workbookViewId="0">
      <selection activeCell="M7" sqref="M7"/>
    </sheetView>
  </sheetViews>
  <sheetFormatPr defaultRowHeight="14.5" x14ac:dyDescent="0.35"/>
  <cols>
    <col min="12" max="12" width="11.6328125" bestFit="1" customWidth="1"/>
    <col min="13" max="13" width="22.54296875" bestFit="1" customWidth="1"/>
    <col min="16" max="16" width="15.26953125" bestFit="1" customWidth="1"/>
    <col min="19" max="19" width="12" customWidth="1"/>
    <col min="22" max="22" width="10.08984375" bestFit="1" customWidth="1"/>
  </cols>
  <sheetData>
    <row r="1" spans="2:24" ht="15" thickBot="1" x14ac:dyDescent="0.4"/>
    <row r="2" spans="2:24" ht="39.5" thickBot="1" x14ac:dyDescent="0.4">
      <c r="B2" s="16" t="s">
        <v>13</v>
      </c>
      <c r="C2" s="17" t="s">
        <v>2</v>
      </c>
      <c r="D2" s="17" t="s">
        <v>14</v>
      </c>
      <c r="E2" s="17" t="s">
        <v>15</v>
      </c>
      <c r="F2" s="17" t="s">
        <v>16</v>
      </c>
      <c r="G2" s="17" t="s">
        <v>17</v>
      </c>
      <c r="L2" s="24" t="s">
        <v>27</v>
      </c>
      <c r="M2" s="24"/>
      <c r="N2" s="24"/>
      <c r="O2" s="24" t="s">
        <v>33</v>
      </c>
      <c r="P2" s="24"/>
      <c r="R2" s="25" t="s">
        <v>34</v>
      </c>
      <c r="S2" s="26" t="s">
        <v>35</v>
      </c>
    </row>
    <row r="3" spans="2:24" ht="52.5" thickBot="1" x14ac:dyDescent="0.4">
      <c r="B3" s="18" t="s">
        <v>18</v>
      </c>
      <c r="C3" s="19">
        <v>4</v>
      </c>
      <c r="D3" s="19">
        <v>5</v>
      </c>
      <c r="E3" s="20"/>
      <c r="F3" s="19">
        <v>3</v>
      </c>
      <c r="G3" s="20"/>
      <c r="H3">
        <f>C3*D3</f>
        <v>20</v>
      </c>
      <c r="I3">
        <f>C3*F3</f>
        <v>12</v>
      </c>
      <c r="K3" s="21"/>
      <c r="L3" s="21" t="s">
        <v>28</v>
      </c>
      <c r="M3" s="21">
        <f>80000*120</f>
        <v>9600000</v>
      </c>
      <c r="N3" s="21"/>
      <c r="O3" s="21" t="s">
        <v>28</v>
      </c>
      <c r="P3" s="21">
        <f>80000*120</f>
        <v>9600000</v>
      </c>
      <c r="Q3" s="21"/>
      <c r="R3" s="27" t="s">
        <v>36</v>
      </c>
      <c r="S3" s="28">
        <v>6</v>
      </c>
      <c r="T3" s="21"/>
      <c r="U3" s="21"/>
      <c r="V3" s="21"/>
    </row>
    <row r="4" spans="2:24" ht="26.5" thickBot="1" x14ac:dyDescent="0.4">
      <c r="B4" s="18" t="s">
        <v>19</v>
      </c>
      <c r="C4" s="19">
        <v>3</v>
      </c>
      <c r="D4" s="19">
        <v>4</v>
      </c>
      <c r="E4" s="20"/>
      <c r="F4" s="19">
        <v>2</v>
      </c>
      <c r="G4" s="20"/>
      <c r="H4">
        <f t="shared" ref="H4:H11" si="0">C4*D4</f>
        <v>12</v>
      </c>
      <c r="I4">
        <f t="shared" ref="I4:I11" si="1">C4*F4</f>
        <v>6</v>
      </c>
      <c r="K4" s="21"/>
      <c r="L4" s="21" t="s">
        <v>30</v>
      </c>
      <c r="M4" s="21">
        <v>450000</v>
      </c>
      <c r="N4" s="21"/>
      <c r="O4" s="21" t="s">
        <v>30</v>
      </c>
      <c r="P4" s="21">
        <v>500000</v>
      </c>
      <c r="Q4" s="21"/>
      <c r="R4" s="27" t="s">
        <v>37</v>
      </c>
      <c r="S4" s="28">
        <v>10</v>
      </c>
      <c r="T4" s="21"/>
      <c r="U4" s="21"/>
      <c r="V4" s="21"/>
    </row>
    <row r="5" spans="2:24" ht="26.5" thickBot="1" x14ac:dyDescent="0.4">
      <c r="B5" s="18" t="s">
        <v>20</v>
      </c>
      <c r="C5" s="19">
        <v>2</v>
      </c>
      <c r="D5" s="19">
        <v>3</v>
      </c>
      <c r="E5" s="20"/>
      <c r="F5" s="19">
        <v>5</v>
      </c>
      <c r="G5" s="20"/>
      <c r="H5">
        <f t="shared" si="0"/>
        <v>6</v>
      </c>
      <c r="I5">
        <f t="shared" si="1"/>
        <v>10</v>
      </c>
      <c r="K5" s="21"/>
      <c r="L5" s="21" t="s">
        <v>31</v>
      </c>
      <c r="M5" s="21">
        <f>80000*55</f>
        <v>4400000</v>
      </c>
      <c r="N5" s="21"/>
      <c r="O5" s="21" t="s">
        <v>31</v>
      </c>
      <c r="P5" s="21">
        <f>80000*50</f>
        <v>4000000</v>
      </c>
      <c r="Q5" s="21"/>
      <c r="R5" s="27" t="s">
        <v>38</v>
      </c>
      <c r="S5" s="28">
        <v>15</v>
      </c>
      <c r="T5" s="21"/>
      <c r="U5" s="21"/>
      <c r="V5" s="21"/>
    </row>
    <row r="6" spans="2:24" ht="52.5" thickBot="1" x14ac:dyDescent="0.4">
      <c r="B6" s="18" t="s">
        <v>21</v>
      </c>
      <c r="C6" s="19">
        <v>3</v>
      </c>
      <c r="D6" s="19">
        <v>4</v>
      </c>
      <c r="E6" s="20"/>
      <c r="F6" s="19">
        <v>4</v>
      </c>
      <c r="G6" s="20"/>
      <c r="H6">
        <f t="shared" si="0"/>
        <v>12</v>
      </c>
      <c r="I6">
        <f t="shared" si="1"/>
        <v>12</v>
      </c>
      <c r="K6" s="21"/>
      <c r="L6" s="21" t="s">
        <v>29</v>
      </c>
      <c r="M6" s="21">
        <f>SUM(M4:M5)</f>
        <v>4850000</v>
      </c>
      <c r="N6" s="21"/>
      <c r="O6" s="21" t="s">
        <v>29</v>
      </c>
      <c r="P6" s="21">
        <f>SUM(P4:P5)</f>
        <v>4500000</v>
      </c>
      <c r="Q6" s="21"/>
      <c r="R6" s="27" t="s">
        <v>39</v>
      </c>
      <c r="S6" s="28">
        <v>8</v>
      </c>
      <c r="T6" s="21"/>
      <c r="U6" s="21"/>
      <c r="V6" s="21"/>
    </row>
    <row r="7" spans="2:24" ht="39.5" thickBot="1" x14ac:dyDescent="0.4">
      <c r="B7" s="18" t="s">
        <v>22</v>
      </c>
      <c r="C7" s="19">
        <v>2</v>
      </c>
      <c r="D7" s="19">
        <v>2</v>
      </c>
      <c r="E7" s="20"/>
      <c r="F7" s="19">
        <v>4</v>
      </c>
      <c r="G7" s="20"/>
      <c r="H7">
        <f t="shared" si="0"/>
        <v>4</v>
      </c>
      <c r="I7">
        <f t="shared" si="1"/>
        <v>8</v>
      </c>
      <c r="K7" s="21"/>
      <c r="L7" s="23" t="s">
        <v>32</v>
      </c>
      <c r="M7" s="23">
        <f>M3-M4-M5</f>
        <v>4750000</v>
      </c>
      <c r="N7" s="23"/>
      <c r="O7" s="23"/>
      <c r="P7" s="23">
        <f>P3-P4-P5</f>
        <v>5100000</v>
      </c>
      <c r="Q7" s="21"/>
      <c r="R7" s="27" t="s">
        <v>32</v>
      </c>
      <c r="S7" s="28">
        <v>12</v>
      </c>
      <c r="T7" s="21"/>
      <c r="U7" s="21"/>
      <c r="V7" s="21"/>
    </row>
    <row r="8" spans="2:24" ht="39.5" thickBot="1" x14ac:dyDescent="0.4">
      <c r="B8" s="18" t="s">
        <v>23</v>
      </c>
      <c r="C8" s="19">
        <v>4</v>
      </c>
      <c r="D8" s="19">
        <v>5</v>
      </c>
      <c r="E8" s="20"/>
      <c r="F8" s="19">
        <v>3</v>
      </c>
      <c r="G8" s="20"/>
      <c r="H8">
        <f t="shared" si="0"/>
        <v>20</v>
      </c>
      <c r="I8">
        <f t="shared" si="1"/>
        <v>12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2:24" ht="39.5" thickBot="1" x14ac:dyDescent="0.4">
      <c r="B9" s="18" t="s">
        <v>24</v>
      </c>
      <c r="C9" s="19">
        <v>2</v>
      </c>
      <c r="D9" s="19">
        <v>3</v>
      </c>
      <c r="E9" s="20"/>
      <c r="F9" s="19">
        <v>5</v>
      </c>
      <c r="G9" s="20"/>
      <c r="H9">
        <f t="shared" si="0"/>
        <v>6</v>
      </c>
      <c r="I9">
        <f t="shared" si="1"/>
        <v>10</v>
      </c>
      <c r="K9" s="21"/>
      <c r="L9" s="21" t="s">
        <v>43</v>
      </c>
      <c r="M9" s="21"/>
      <c r="N9" s="21"/>
      <c r="O9" s="21"/>
      <c r="P9" s="21"/>
      <c r="Q9" s="21" t="s">
        <v>34</v>
      </c>
      <c r="R9" s="21" t="s">
        <v>40</v>
      </c>
      <c r="S9" s="21" t="s">
        <v>41</v>
      </c>
      <c r="T9" s="21"/>
      <c r="U9" s="21" t="s">
        <v>42</v>
      </c>
      <c r="V9" s="21">
        <f>R10*S3+R11*S4+R12*S5+R13*S6+R14*S7</f>
        <v>302</v>
      </c>
      <c r="W9">
        <f>SUM(S3:S7)</f>
        <v>51</v>
      </c>
      <c r="X9" s="29">
        <f>V9/W9</f>
        <v>5.9215686274509807</v>
      </c>
    </row>
    <row r="10" spans="2:24" ht="26.5" thickBot="1" x14ac:dyDescent="0.4">
      <c r="B10" s="18" t="s">
        <v>25</v>
      </c>
      <c r="C10" s="19">
        <v>3</v>
      </c>
      <c r="D10" s="19">
        <v>4</v>
      </c>
      <c r="E10" s="20"/>
      <c r="F10" s="19">
        <v>2</v>
      </c>
      <c r="G10" s="20"/>
      <c r="H10">
        <f t="shared" si="0"/>
        <v>12</v>
      </c>
      <c r="I10">
        <f t="shared" si="1"/>
        <v>6</v>
      </c>
      <c r="K10" s="21"/>
      <c r="L10" s="23">
        <f>450000/(120-55)</f>
        <v>6923.0769230769229</v>
      </c>
      <c r="M10" s="21"/>
      <c r="N10" s="21"/>
      <c r="O10" s="21"/>
      <c r="P10" s="23">
        <f>500000/(120-50)</f>
        <v>7142.8571428571431</v>
      </c>
      <c r="Q10" s="27" t="s">
        <v>36</v>
      </c>
      <c r="R10" s="19">
        <v>3</v>
      </c>
      <c r="S10" s="19">
        <v>6</v>
      </c>
      <c r="T10" s="21"/>
      <c r="U10" s="21" t="s">
        <v>41</v>
      </c>
      <c r="V10" s="21">
        <f>S10*S3+S11*S4+S12*S5+S13*S6+S14*S7</f>
        <v>249</v>
      </c>
      <c r="W10">
        <f>SUM(S3:S7)</f>
        <v>51</v>
      </c>
      <c r="X10" s="29">
        <f>V10/W10</f>
        <v>4.882352941176471</v>
      </c>
    </row>
    <row r="11" spans="2:24" ht="15" thickBot="1" x14ac:dyDescent="0.4">
      <c r="B11" s="18" t="s">
        <v>26</v>
      </c>
      <c r="C11" s="19">
        <v>4</v>
      </c>
      <c r="D11" s="19">
        <v>5</v>
      </c>
      <c r="E11" s="20"/>
      <c r="F11" s="19">
        <v>3</v>
      </c>
      <c r="G11" s="20"/>
      <c r="H11">
        <f t="shared" si="0"/>
        <v>20</v>
      </c>
      <c r="I11">
        <f t="shared" si="1"/>
        <v>12</v>
      </c>
      <c r="K11" s="21"/>
      <c r="M11" s="21"/>
      <c r="N11" s="21"/>
      <c r="O11" s="21"/>
      <c r="P11" s="21"/>
      <c r="Q11" s="27" t="s">
        <v>37</v>
      </c>
      <c r="R11" s="19">
        <v>6</v>
      </c>
      <c r="S11" s="19">
        <v>8</v>
      </c>
      <c r="T11" s="21"/>
      <c r="U11" s="21"/>
      <c r="V11" s="21"/>
    </row>
    <row r="12" spans="2:24" ht="15" thickBot="1" x14ac:dyDescent="0.4">
      <c r="H12" s="22">
        <f>SUM(H3:H11)</f>
        <v>112</v>
      </c>
      <c r="I12" s="22">
        <f>SUM(I3:I11)</f>
        <v>88</v>
      </c>
      <c r="K12" s="21"/>
      <c r="L12" s="21"/>
      <c r="M12" s="21"/>
      <c r="N12" s="21"/>
      <c r="O12" s="21"/>
      <c r="P12" s="21"/>
      <c r="Q12" s="27" t="s">
        <v>38</v>
      </c>
      <c r="R12" s="19">
        <v>8</v>
      </c>
      <c r="S12" s="19">
        <v>3</v>
      </c>
      <c r="T12" s="21"/>
      <c r="U12" s="21"/>
      <c r="V12" s="21"/>
    </row>
    <row r="13" spans="2:24" ht="15" thickBot="1" x14ac:dyDescent="0.4">
      <c r="K13" s="21"/>
      <c r="L13" s="21"/>
      <c r="M13" s="21"/>
      <c r="N13" s="21"/>
      <c r="O13" s="21"/>
      <c r="P13" s="21"/>
      <c r="Q13" s="27" t="s">
        <v>39</v>
      </c>
      <c r="R13" s="19">
        <v>7</v>
      </c>
      <c r="S13" s="19">
        <v>5</v>
      </c>
      <c r="T13" s="21"/>
      <c r="U13" s="21"/>
      <c r="V13" s="21"/>
    </row>
    <row r="14" spans="2:24" ht="15" thickBot="1" x14ac:dyDescent="0.4">
      <c r="K14" s="21"/>
      <c r="L14" s="21"/>
      <c r="M14" s="21"/>
      <c r="N14" s="21"/>
      <c r="O14" s="21"/>
      <c r="P14" s="21"/>
      <c r="Q14" s="27" t="s">
        <v>32</v>
      </c>
      <c r="R14" s="19">
        <v>4</v>
      </c>
      <c r="S14" s="19">
        <v>4</v>
      </c>
      <c r="T14" s="21"/>
      <c r="U14" s="21"/>
      <c r="V14" s="21"/>
    </row>
    <row r="15" spans="2:24" x14ac:dyDescent="0.35"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2:24" x14ac:dyDescent="0.35"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1:22" x14ac:dyDescent="0.35"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Maciel Queiroz</dc:creator>
  <cp:lastModifiedBy>Maciel Queiroz</cp:lastModifiedBy>
  <dcterms:created xsi:type="dcterms:W3CDTF">2026-03-08T14:12:21Z</dcterms:created>
  <dcterms:modified xsi:type="dcterms:W3CDTF">2026-03-08T16:14:53Z</dcterms:modified>
</cp:coreProperties>
</file>