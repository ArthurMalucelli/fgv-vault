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Lista_7_DI_SELIC" sheetId="3" state="visible" r:id="rId3"/>
    <sheet xmlns:r="http://schemas.openxmlformats.org/officeDocument/2006/relationships" name="Lista_8_LTN_NTNF" sheetId="4" state="visible" r:id="rId4"/>
    <sheet xmlns:r="http://schemas.openxmlformats.org/officeDocument/2006/relationships" name="Lista_10_Cambio_IRP_PPP" sheetId="5" state="visible" r:id="rId5"/>
    <sheet xmlns:r="http://schemas.openxmlformats.org/officeDocument/2006/relationships" name="Quiz_Turma_Anteri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0.0000%"/>
    <numFmt numFmtId="165" formatCode="&quot;R$&quot; #,##0.00"/>
    <numFmt numFmtId="166" formatCode="0.0000"/>
    <numFmt numFmtId="167" formatCode="0.0%"/>
    <numFmt numFmtId="168" formatCode="0.00000%"/>
    <numFmt numFmtId="169" formatCode="0.000000%"/>
    <numFmt numFmtId="170" formatCode="0.0000000%"/>
    <numFmt numFmtId="171" formatCode="&quot;R$&quot; #,##0"/>
    <numFmt numFmtId="172" formatCode="&quot;US$&quot; #,##0.00"/>
    <numFmt numFmtId="173" formatCode="&quot;US$&quot; #,##0"/>
    <numFmt numFmtId="174" formatCode="0.00000"/>
    <numFmt numFmtId="175" formatCode="0.0000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sz val="11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164" fontId="0" fillId="0" borderId="0" pivotButton="0" quotePrefix="0" xfId="0"/>
    <xf numFmtId="164" fontId="5" fillId="5" borderId="0" pivotButton="0" quotePrefix="0" xfId="0"/>
    <xf numFmtId="165" fontId="0" fillId="0" borderId="0" pivotButton="0" quotePrefix="0" xfId="0"/>
    <xf numFmtId="166" fontId="5" fillId="5" borderId="0" pivotButton="0" quotePrefix="0" xfId="0"/>
    <xf numFmtId="167" fontId="0" fillId="0" borderId="0" pivotButton="0" quotePrefix="0" xfId="0"/>
    <xf numFmtId="165" fontId="5" fillId="5" borderId="0" pivotButton="0" quotePrefix="0" xfId="0"/>
    <xf numFmtId="10" fontId="0" fillId="0" borderId="0" pivotButton="0" quotePrefix="0" xfId="0"/>
    <xf numFmtId="168" fontId="5" fillId="5" borderId="0" pivotButton="0" quotePrefix="0" xfId="0"/>
    <xf numFmtId="169" fontId="5" fillId="5" borderId="0" pivotButton="0" quotePrefix="0" xfId="0"/>
    <xf numFmtId="170" fontId="5" fillId="5" borderId="0" pivotButton="0" quotePrefix="0" xfId="0"/>
    <xf numFmtId="10" fontId="5" fillId="5" borderId="0" pivotButton="0" quotePrefix="0" xfId="0"/>
    <xf numFmtId="1" fontId="5" fillId="5" borderId="0" pivotButton="0" quotePrefix="0" xfId="0"/>
    <xf numFmtId="171" fontId="5" fillId="5" borderId="0" pivotButton="0" quotePrefix="0" xfId="0"/>
    <xf numFmtId="172" fontId="5" fillId="5" borderId="0" pivotButton="0" quotePrefix="0" xfId="0"/>
    <xf numFmtId="2" fontId="5" fillId="5" borderId="0" pivotButton="0" quotePrefix="0" xfId="0"/>
    <xf numFmtId="173" fontId="5" fillId="5" borderId="0" pivotButton="0" quotePrefix="0" xfId="0"/>
    <xf numFmtId="174" fontId="5" fillId="5" borderId="0" pivotButton="0" quotePrefix="0" xfId="0"/>
    <xf numFmtId="175" fontId="5" fillId="5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  <col width="60" customWidth="1" min="3" max="3"/>
  </cols>
  <sheetData>
    <row r="1" ht="24" customHeight="1">
      <c r="A1" s="1" t="inlineStr">
        <is>
          <t>PRODUTOS FINANCEIROS — CHEAT SHEET DE FORMULAS</t>
        </is>
      </c>
    </row>
    <row r="2">
      <c r="A2" s="2" t="inlineStr">
        <is>
          <t>Escopo: Renda fixa BR (LTN, NTN-F, CDI, CDB) + Taxa de Cambio + IRP + PPP</t>
        </is>
      </c>
    </row>
    <row r="4">
      <c r="A4" s="3" t="inlineStr">
        <is>
          <t>1. CONVERSAO DE TAXAS (base 252 dias uteis para BR)</t>
        </is>
      </c>
    </row>
    <row r="5">
      <c r="A5" s="4" t="inlineStr">
        <is>
          <t>Conversao</t>
        </is>
      </c>
      <c r="B5" s="4" t="inlineStr">
        <is>
          <t>Formula</t>
        </is>
      </c>
      <c r="C5" s="4" t="inlineStr">
        <is>
          <t>Excel</t>
        </is>
      </c>
    </row>
    <row r="6">
      <c r="A6" t="inlineStr">
        <is>
          <t>Anual -&gt; diaria</t>
        </is>
      </c>
      <c r="B6" t="inlineStr">
        <is>
          <t>i_du = (1 + i_aa)^(1/252) - 1</t>
        </is>
      </c>
      <c r="C6">
        <f>(1+i_aa)^(1/252)-1</f>
        <v/>
      </c>
    </row>
    <row r="7">
      <c r="A7" t="inlineStr">
        <is>
          <t>Anual -&gt; mensal (21 du)</t>
        </is>
      </c>
      <c r="B7" t="inlineStr">
        <is>
          <t>i_am = (1 + i_aa)^(21/252) - 1 = (1+i_aa)^(1/12) - 1</t>
        </is>
      </c>
      <c r="C7">
        <f>(1+i_aa)^(21/252)-1</f>
        <v/>
      </c>
    </row>
    <row r="8">
      <c r="A8" t="inlineStr">
        <is>
          <t>Anual -&gt; semestral</t>
        </is>
      </c>
      <c r="B8" t="inlineStr">
        <is>
          <t>i_as = (1 + i_aa)^(1/2) - 1   &lt;- NTN-F cupom: 4,8809% se i_aa=10%</t>
        </is>
      </c>
      <c r="C8">
        <f>(1+10%)^0.5-1 = 4,88%</f>
        <v/>
      </c>
    </row>
    <row r="9">
      <c r="A9" t="inlineStr">
        <is>
          <t>Periodo n du -&gt; anualizada</t>
        </is>
      </c>
      <c r="B9" t="inlineStr">
        <is>
          <t>i_aa = (1 + i_periodo)^(252/n) - 1</t>
        </is>
      </c>
      <c r="C9">
        <f>(1+i_p)^(252/n)-1</f>
        <v/>
      </c>
    </row>
    <row r="10">
      <c r="A10" t="inlineStr">
        <is>
          <t>Encadear taxas (periodos seq.)</t>
        </is>
      </c>
      <c r="B10" t="inlineStr">
        <is>
          <t>(1 + i_total) = (1 + i_1) x (1 + i_2) x ... x (1 + i_n)</t>
        </is>
      </c>
      <c r="C10">
        <f>PRODUTO(...) - 1</f>
        <v/>
      </c>
    </row>
    <row r="12">
      <c r="A12" s="3" t="inlineStr">
        <is>
          <t>2. CDI / CDB INDEXADO ( % do CDI )</t>
        </is>
      </c>
    </row>
    <row r="13">
      <c r="A13" s="4" t="inlineStr">
        <is>
          <t>Passo</t>
        </is>
      </c>
      <c r="B13" s="4" t="inlineStr">
        <is>
          <t>Formula</t>
        </is>
      </c>
      <c r="C13" s="4" t="inlineStr">
        <is>
          <t>Observacao</t>
        </is>
      </c>
    </row>
    <row r="14">
      <c r="A14" t="inlineStr">
        <is>
          <t>1. CDI anual -&gt; CDI diario</t>
        </is>
      </c>
      <c r="B14" t="inlineStr">
        <is>
          <t>i_DI_du = (1 + CDI_aa)^(1/252) - 1</t>
        </is>
      </c>
      <c r="C14" t="inlineStr">
        <is>
          <t>252 du no ano</t>
        </is>
      </c>
    </row>
    <row r="15">
      <c r="A15" t="inlineStr">
        <is>
          <t>2. CDB diario (% do CDI)</t>
        </is>
      </c>
      <c r="B15" t="inlineStr">
        <is>
          <t>i_CDB_du = %CDI * i_DI_du     &lt;- ATENCAO: multiplica TAXA, nao FATOR</t>
        </is>
      </c>
      <c r="C15" s="5" t="inlineStr">
        <is>
          <t>ARMADILHA: usar (1+CDI)^%; nao funciona</t>
        </is>
      </c>
    </row>
    <row r="16">
      <c r="A16" t="inlineStr">
        <is>
          <t>3. Acumular ao longo de n du</t>
        </is>
      </c>
      <c r="B16" t="inlineStr">
        <is>
          <t>Fator = (1 + i_CDB_du)^n</t>
        </is>
      </c>
    </row>
    <row r="17">
      <c r="A17" t="inlineStr">
        <is>
          <t>4. CDI variando entre periodos</t>
        </is>
      </c>
      <c r="B17" t="inlineStr">
        <is>
          <t>Fator_total = Prod[ (1 + %CDI * i_DI_du,k)^n_k ] para cada periodo k</t>
        </is>
      </c>
      <c r="C17" t="inlineStr">
        <is>
          <t>Quiz Q3: 238% CDI -&gt; 8,12%</t>
        </is>
      </c>
    </row>
    <row r="19">
      <c r="A19" s="3" t="inlineStr">
        <is>
          <t>3. LTN (Tesouro Prefixado, sem cupom, VN = R$ 1.000)</t>
        </is>
      </c>
    </row>
    <row r="20">
      <c r="A20" s="4" t="inlineStr">
        <is>
          <t>Calculo</t>
        </is>
      </c>
      <c r="B20" s="4" t="inlineStr">
        <is>
          <t>Formula</t>
        </is>
      </c>
      <c r="C20" s="4" t="inlineStr">
        <is>
          <t>Excel</t>
        </is>
      </c>
    </row>
    <row r="21">
      <c r="A21" t="inlineStr">
        <is>
          <t>Preco a partir do YTM</t>
        </is>
      </c>
      <c r="B21" t="inlineStr">
        <is>
          <t>P = 1000 / (1 + YTM_aa)^(du/252)</t>
        </is>
      </c>
      <c r="C21">
        <f>1000/(1+YTM)^(du/252)  ou  =-VP(YTM;du/252;;1000)</f>
        <v/>
      </c>
    </row>
    <row r="22">
      <c r="A22" t="inlineStr">
        <is>
          <t>YTM a partir do preco</t>
        </is>
      </c>
      <c r="B22" t="inlineStr">
        <is>
          <t>YTM_aa = (1000/P)^(252/du) - 1</t>
        </is>
      </c>
      <c r="C22">
        <f>(1000/P)^(252/du)-1</f>
        <v/>
      </c>
    </row>
    <row r="23">
      <c r="A23" t="inlineStr">
        <is>
          <t>Retorno em venda intermediaria</t>
        </is>
      </c>
      <c r="B23" t="inlineStr">
        <is>
          <t>P0 = 1000/(1+YTM0)^(du0/252); P1 = 1000/(1+YTM1)^((du0-Δdu)/252); Ret = P1/P0 - 1</t>
        </is>
      </c>
      <c r="C23" t="inlineStr">
        <is>
          <t>taxa subiu -&gt; preco caiu -&gt; retorno &lt; YTM contratada</t>
        </is>
      </c>
    </row>
    <row r="24">
      <c r="A24" t="inlineStr">
        <is>
          <t>LTN nunca com premio</t>
        </is>
      </c>
      <c r="B24" t="inlineStr">
        <is>
          <t>P sempre &lt; 1000 (nao paga cupom; precisaria YTM negativa pra P&gt;1000)</t>
        </is>
      </c>
    </row>
    <row r="26">
      <c r="A26" s="3" t="inlineStr">
        <is>
          <t>4. NTN-F (Tesouro Prefixado com Juros Semestrais)</t>
        </is>
      </c>
    </row>
    <row r="27">
      <c r="A27" s="4" t="inlineStr">
        <is>
          <t>Item</t>
        </is>
      </c>
      <c r="B27" s="4" t="inlineStr">
        <is>
          <t>Valor / Formula</t>
        </is>
      </c>
      <c r="C27" s="4" t="inlineStr">
        <is>
          <t>Obs</t>
        </is>
      </c>
    </row>
    <row r="28">
      <c r="A28" t="inlineStr">
        <is>
          <t>Valor de face</t>
        </is>
      </c>
      <c r="B28" t="inlineStr">
        <is>
          <t>VN = R$ 1.000</t>
        </is>
      </c>
      <c r="C28" t="inlineStr">
        <is>
          <t>sempre</t>
        </is>
      </c>
    </row>
    <row r="29">
      <c r="A29" t="inlineStr">
        <is>
          <t>Taxa cupom anual nominal</t>
        </is>
      </c>
      <c r="B29" t="inlineStr">
        <is>
          <t>10% a.a. efetivo</t>
        </is>
      </c>
      <c r="C29" t="inlineStr">
        <is>
          <t>capitalizado semestralmente</t>
        </is>
      </c>
    </row>
    <row r="30">
      <c r="A30" t="inlineStr">
        <is>
          <t>Cupom semestral</t>
        </is>
      </c>
      <c r="B30" t="inlineStr">
        <is>
          <t>i_cs = (1 + 10%)^0,5 - 1 = 4,8809%</t>
        </is>
      </c>
      <c r="C30" t="inlineStr">
        <is>
          <t>R$ 48,81 por semestre</t>
        </is>
      </c>
    </row>
    <row r="31">
      <c r="A31" t="inlineStr">
        <is>
          <t>Datas de pagamento</t>
        </is>
      </c>
      <c r="B31" t="inlineStr">
        <is>
          <t>Sempre 01/01 e 01/07</t>
        </is>
      </c>
      <c r="C31" t="inlineStr">
        <is>
          <t>ultimo fluxo: 48,81 + 1.000 = 1.048,81</t>
        </is>
      </c>
    </row>
    <row r="32">
      <c r="A32" t="inlineStr">
        <is>
          <t>Preco (precificacao do bond)</t>
        </is>
      </c>
      <c r="B32" t="inlineStr">
        <is>
          <t>P = Σ [48,81 / (1 + YTM)^(du_k/252)] + 1.000/(1+YTM)^(du_N/252)</t>
        </is>
      </c>
      <c r="C32" t="inlineStr">
        <is>
          <t>soma VP de cada fluxo</t>
        </is>
      </c>
    </row>
    <row r="33">
      <c r="A33" t="inlineStr">
        <is>
          <t>YTM a partir do preco</t>
        </is>
      </c>
      <c r="B33" t="inlineStr">
        <is>
          <t>Resolver iterativamente (Atingir Meta) ou TIR do fluxo</t>
        </is>
      </c>
    </row>
    <row r="34">
      <c r="A34" t="inlineStr">
        <is>
          <t>Espacamento dos cupons</t>
        </is>
      </c>
      <c r="B34" t="inlineStr">
        <is>
          <t>Semestre = 126 du (problemas simplificados)</t>
        </is>
      </c>
      <c r="C34" t="inlineStr">
        <is>
          <t>real: usar 01/01 e 01/07 + DIATRABALHOTOTAL</t>
        </is>
      </c>
    </row>
    <row r="36">
      <c r="A36" s="3" t="inlineStr">
        <is>
          <t>5. DIAS UTEIS (Tesouro Direto)</t>
        </is>
      </c>
    </row>
    <row r="37">
      <c r="A37" s="4" t="inlineStr">
        <is>
          <t>Item</t>
        </is>
      </c>
      <c r="B37" s="4" t="inlineStr">
        <is>
          <t>Regra</t>
        </is>
      </c>
      <c r="C37" s="4" t="inlineStr">
        <is>
          <t>Excel</t>
        </is>
      </c>
    </row>
    <row r="38">
      <c r="A38" t="inlineStr">
        <is>
          <t>Janela</t>
        </is>
      </c>
      <c r="B38" t="inlineStr">
        <is>
          <t>Data liquidacao INCLUSIVE -&gt; data vencimento EXCLUSIVE</t>
        </is>
      </c>
    </row>
    <row r="39">
      <c r="A39" t="inlineStr">
        <is>
          <t>Data liquidacao</t>
        </is>
      </c>
      <c r="B39" t="inlineStr">
        <is>
          <t>D+1 da data de compra (1 du depois)</t>
        </is>
      </c>
      <c r="C39">
        <f>DIATRABALHO(data_compra;1;Feriados)</f>
        <v/>
      </c>
    </row>
    <row r="40">
      <c r="A40" t="inlineStr">
        <is>
          <t>Dias uteis no periodo</t>
        </is>
      </c>
      <c r="B40" t="inlineStr">
        <is>
          <t>DIATRABALHOTOTAL conta as duas extremidades, entao subtrai 1 do vencimento</t>
        </is>
      </c>
      <c r="C40">
        <f>DIATRABALHOTOTAL(liq;venc-1;Feriados)</f>
        <v/>
      </c>
    </row>
    <row r="41">
      <c r="A41" t="inlineStr">
        <is>
          <t>Conversao du -&gt; dc</t>
        </is>
      </c>
      <c r="B41" t="inlineStr">
        <is>
          <t>dc ≈ du × 1,4 (252 du = 365 dc)</t>
        </is>
      </c>
      <c r="C41" t="inlineStr">
        <is>
          <t>usar pra enquadrar IR</t>
        </is>
      </c>
    </row>
    <row r="43">
      <c r="A43" s="3" t="inlineStr">
        <is>
          <t>6. TRIBUTACAO RENDA FIXA BR (regressiva)</t>
        </is>
      </c>
    </row>
    <row r="44">
      <c r="A44" s="4" t="inlineStr">
        <is>
          <t>Prazo aplicacao</t>
        </is>
      </c>
      <c r="B44" s="4" t="inlineStr">
        <is>
          <t>Aliquota IR</t>
        </is>
      </c>
      <c r="C44" s="4" t="inlineStr">
        <is>
          <t>Obs</t>
        </is>
      </c>
    </row>
    <row r="45">
      <c r="A45" t="inlineStr">
        <is>
          <t>Ate 180 dias corridos</t>
        </is>
      </c>
      <c r="B45" t="inlineStr">
        <is>
          <t>22,5%</t>
        </is>
      </c>
      <c r="C45" t="inlineStr">
        <is>
          <t>caso Quiz Q14</t>
        </is>
      </c>
    </row>
    <row r="46">
      <c r="A46" t="inlineStr">
        <is>
          <t>181 a 360 dias</t>
        </is>
      </c>
      <c r="B46" t="inlineStr">
        <is>
          <t>20,0%</t>
        </is>
      </c>
    </row>
    <row r="47">
      <c r="A47" t="inlineStr">
        <is>
          <t>361 a 720 dias</t>
        </is>
      </c>
      <c r="B47" t="inlineStr">
        <is>
          <t>17,5%</t>
        </is>
      </c>
    </row>
    <row r="48">
      <c r="A48" t="inlineStr">
        <is>
          <t>Acima de 720 dias</t>
        </is>
      </c>
      <c r="B48" t="inlineStr">
        <is>
          <t>15,0%</t>
        </is>
      </c>
    </row>
    <row r="49">
      <c r="A49" t="inlineStr">
        <is>
          <t>Base de calculo</t>
        </is>
      </c>
      <c r="B49" t="inlineStr">
        <is>
          <t>IR = aliquota × (P_venda - P_compra)</t>
        </is>
      </c>
      <c r="C49" s="5" t="inlineStr">
        <is>
          <t>so sobre o ganho, NAO sobre o total</t>
        </is>
      </c>
    </row>
    <row r="51">
      <c r="A51" s="3" t="inlineStr">
        <is>
          <t>7. TAXA DE CAMBIO — COTACOES</t>
        </is>
      </c>
    </row>
    <row r="52">
      <c r="A52" s="4" t="inlineStr">
        <is>
          <t>Item</t>
        </is>
      </c>
      <c r="B52" s="4" t="inlineStr">
        <is>
          <t>Definicao</t>
        </is>
      </c>
      <c r="C52" s="4" t="inlineStr">
        <is>
          <t>Exemplo</t>
        </is>
      </c>
    </row>
    <row r="53">
      <c r="A53" t="inlineStr">
        <is>
          <t>Cotacao direta</t>
        </is>
      </c>
      <c r="B53" t="inlineStr">
        <is>
          <t>Preco da MOEDA ESTRANGEIRA em unidades da moeda LOCAL</t>
        </is>
      </c>
      <c r="C53" t="inlineStr">
        <is>
          <t>1 USD = 5,39 BRL (no BR)</t>
        </is>
      </c>
    </row>
    <row r="54">
      <c r="A54" t="inlineStr">
        <is>
          <t>Cotacao indireta</t>
        </is>
      </c>
      <c r="B54" t="inlineStr">
        <is>
          <t>Preco da MOEDA LOCAL em unidades da moeda ESTRANGEIRA</t>
        </is>
      </c>
      <c r="C54" t="inlineStr">
        <is>
          <t>1 BRL = 0,1855 USD</t>
        </is>
      </c>
    </row>
    <row r="55">
      <c r="A55" t="inlineStr">
        <is>
          <t>Notacao A/B</t>
        </is>
      </c>
      <c r="B55" t="inlineStr">
        <is>
          <t>'A por 1 B'. A = quote (numerador); B = base (denominador)</t>
        </is>
      </c>
      <c r="C55" t="inlineStr">
        <is>
          <t>BRL/EUR=4,43: 4,43 reais por 1 euro</t>
        </is>
      </c>
    </row>
    <row r="56">
      <c r="A56" t="inlineStr">
        <is>
          <t>Valorizacao / Desvalorizacao</t>
        </is>
      </c>
      <c r="B56" t="inlineStr">
        <is>
          <t>Cotacao direta SOBE -&gt; moeda LOCAL desvalorizou</t>
        </is>
      </c>
      <c r="C56" t="inlineStr">
        <is>
          <t>USDBRL 5 -&gt; 5,5 = real perdeu 10%</t>
        </is>
      </c>
    </row>
    <row r="57">
      <c r="A57" t="inlineStr">
        <is>
          <t>Ptax</t>
        </is>
      </c>
      <c r="B57" t="inlineStr">
        <is>
          <t>Taxa de referencia BACEN. Media de 4 janelas/dia com 14 dealers</t>
        </is>
      </c>
      <c r="C57" t="inlineStr">
        <is>
          <t>dealers credenciados 6m</t>
        </is>
      </c>
    </row>
    <row r="58">
      <c r="A58" t="inlineStr">
        <is>
          <t>Tipos de dolar BR</t>
        </is>
      </c>
      <c r="B58" t="inlineStr">
        <is>
          <t>Comercial (bancos/empresas) | Turismo (varejo) | Paralelo (ilegal) | Ptax (ref. BACEN)</t>
        </is>
      </c>
    </row>
    <row r="60">
      <c r="A60" s="3" t="inlineStr">
        <is>
          <t>8. PARIDADE DA TAXA DE JUROS (IRP)</t>
        </is>
      </c>
    </row>
    <row r="61">
      <c r="A61" s="4" t="inlineStr">
        <is>
          <t>Item</t>
        </is>
      </c>
      <c r="B61" s="4" t="inlineStr">
        <is>
          <t>Formula</t>
        </is>
      </c>
      <c r="C61" s="4" t="inlineStr">
        <is>
          <t>Aplicacao</t>
        </is>
      </c>
    </row>
    <row r="62">
      <c r="A62" t="inlineStr">
        <is>
          <t>Identidade base</t>
        </is>
      </c>
      <c r="B62" t="inlineStr">
        <is>
          <t>(1 + r_country) / (1 + r_US) = Forward_country/USD / Spot_country/USD</t>
        </is>
      </c>
      <c r="C62" t="inlineStr">
        <is>
          <t>taxa maior -&gt; moeda se deprecia em forward</t>
        </is>
      </c>
    </row>
    <row r="63">
      <c r="A63" t="inlineStr">
        <is>
          <t>Forma geral</t>
        </is>
      </c>
      <c r="B63" t="inlineStr">
        <is>
          <t>F = S × (1 + r_quote) / (1 + r_base)</t>
        </is>
      </c>
      <c r="C63" t="inlineStr">
        <is>
          <t>para cotacao quote/base</t>
        </is>
      </c>
    </row>
    <row r="64">
      <c r="A64" t="inlineStr">
        <is>
          <t>Aplicacao (Quiz Q10 JPY/USD)</t>
        </is>
      </c>
      <c r="B64" t="inlineStr">
        <is>
          <t>F_JPY/USD = 128,77 × (1 + 0,0188) / (1 + 0,0508) = 124,85</t>
        </is>
      </c>
      <c r="C64" t="inlineStr">
        <is>
          <t>USD se deprecia em forward pq juro USD &gt; juro JPY</t>
        </is>
      </c>
    </row>
    <row r="65">
      <c r="A65" t="inlineStr">
        <is>
          <t>Regra mnemonica</t>
        </is>
      </c>
      <c r="B65" t="inlineStr">
        <is>
          <t>Cotacao A/B: A no numerador (quote). Taxa de A no numerador da razao de juros tambem</t>
        </is>
      </c>
    </row>
    <row r="66">
      <c r="A66" t="inlineStr">
        <is>
          <t>Taxa equivalente em outra moeda</t>
        </is>
      </c>
      <c r="B66" t="inlineStr">
        <is>
          <t>F/S = (1+r_BRL)/(1+r_USD) -&gt; isolar r_USD</t>
        </is>
      </c>
      <c r="C66" t="inlineStr">
        <is>
          <t>Slide: 5,82/5,50 = 1,12/(1+r_USD) -&gt; r_USD = 5,84%</t>
        </is>
      </c>
    </row>
    <row r="68">
      <c r="A68" s="3" t="inlineStr">
        <is>
          <t>9. PARIDADE DO PODER DE COMPRA (PPP)</t>
        </is>
      </c>
    </row>
    <row r="69">
      <c r="A69" s="4" t="inlineStr">
        <is>
          <t>Item</t>
        </is>
      </c>
      <c r="B69" s="4" t="inlineStr">
        <is>
          <t>Formula</t>
        </is>
      </c>
      <c r="C69" s="4" t="inlineStr">
        <is>
          <t>Aplicacao</t>
        </is>
      </c>
    </row>
    <row r="70">
      <c r="A70" t="inlineStr">
        <is>
          <t>PPP relativa</t>
        </is>
      </c>
      <c r="B70" t="inlineStr">
        <is>
          <t>E(1+π_BRL) / E(1+π_country) = E(spot_BRL/country) / spot_BRL/country</t>
        </is>
      </c>
      <c r="C70" t="inlineStr">
        <is>
          <t>reordenando: S_new = S_old × (1+π_local)/(1+π_estrangeira)</t>
        </is>
      </c>
    </row>
    <row r="71">
      <c r="A71" t="inlineStr">
        <is>
          <t>Aplicacao (Quiz Q9 BRL/EUR)</t>
        </is>
      </c>
      <c r="B71" t="inlineStr">
        <is>
          <t>S_2023 = 4,43 × (1,0974/1,0662) = 4,56</t>
        </is>
      </c>
      <c r="C71" t="inlineStr">
        <is>
          <t>inflacao BR maior -&gt; BRL deprecia -&gt; mais BRL por EUR</t>
        </is>
      </c>
    </row>
    <row r="72">
      <c r="A72" t="inlineStr">
        <is>
          <t>PPP absoluta (Big Mac)</t>
        </is>
      </c>
      <c r="B72" t="inlineStr">
        <is>
          <t>S_PPP = P_local / P_estrangeira</t>
        </is>
      </c>
      <c r="C72" t="inlineStr">
        <is>
          <t>Combo R$55, US$10 -&gt; S=5,50</t>
        </is>
      </c>
    </row>
    <row r="73">
      <c r="A73" t="inlineStr">
        <is>
          <t>Limitacoes</t>
        </is>
      </c>
      <c r="B73" t="inlineStr">
        <is>
          <t>Transporte, tarifas, qualidade, nao-tradables, expectativas, fluxos, monetaria</t>
        </is>
      </c>
    </row>
    <row r="75">
      <c r="A75" s="3" t="inlineStr">
        <is>
          <t>10. ARMADILHAS RECORRENTES DO BANCO DO PROFESSOR</t>
        </is>
      </c>
    </row>
    <row r="76">
      <c r="A76" s="4" t="inlineStr">
        <is>
          <t>Tema</t>
        </is>
      </c>
      <c r="B76" s="4" t="inlineStr">
        <is>
          <t>Armadilha</t>
        </is>
      </c>
      <c r="C76" s="4" t="inlineStr">
        <is>
          <t>Correcao</t>
        </is>
      </c>
    </row>
    <row r="77">
      <c r="A77" t="inlineStr">
        <is>
          <t>CDB %CDI</t>
        </is>
      </c>
      <c r="B77" t="inlineStr">
        <is>
          <t>Multiplicar (1+CDI)^% ao inves de aplicar % na taxa diaria</t>
        </is>
      </c>
      <c r="C77" t="inlineStr">
        <is>
          <t>i_CDB_d = %CDI × i_DI_d (taxa, nao fator)</t>
        </is>
      </c>
    </row>
    <row r="78">
      <c r="A78" t="inlineStr">
        <is>
          <t>LTN base</t>
        </is>
      </c>
      <c r="B78" t="inlineStr">
        <is>
          <t>Usar base 365 dias corridos</t>
        </is>
      </c>
      <c r="C78" t="inlineStr">
        <is>
          <t>LTN sempre 252 dias UTEIS</t>
        </is>
      </c>
    </row>
    <row r="79">
      <c r="A79" t="inlineStr">
        <is>
          <t>LTN venda intermediaria</t>
        </is>
      </c>
      <c r="B79" t="inlineStr">
        <is>
          <t>Esquecer que prazo ate vencimento DIMINUI no momento da venda</t>
        </is>
      </c>
      <c r="C79" t="inlineStr">
        <is>
          <t>du1 = du0 - Δdu (tempo passado)</t>
        </is>
      </c>
    </row>
    <row r="80">
      <c r="A80" t="inlineStr">
        <is>
          <t>IRP direcao do quote</t>
        </is>
      </c>
      <c r="B80" t="inlineStr">
        <is>
          <t>Inverter numerator/denominator em JPY/USD</t>
        </is>
      </c>
      <c r="C80" t="inlineStr">
        <is>
          <t>QUOTE no topo, BASE embaixo. JPY/USD -&gt; JPY no topo</t>
        </is>
      </c>
    </row>
    <row r="81">
      <c r="A81" t="inlineStr">
        <is>
          <t>PPP direcao da inflacao</t>
        </is>
      </c>
      <c r="B81" t="inlineStr">
        <is>
          <t>Inverter qual moeda deprecia</t>
        </is>
      </c>
      <c r="C81" t="inlineStr">
        <is>
          <t>Inflacao local MAIOR -&gt; moeda local DEPRECIA</t>
        </is>
      </c>
    </row>
    <row r="82">
      <c r="A82" t="inlineStr">
        <is>
          <t>IR LTN</t>
        </is>
      </c>
      <c r="B82" t="inlineStr">
        <is>
          <t>Aplicar aliquota ao total resgatado, nao ao ganho</t>
        </is>
      </c>
      <c r="C82" t="inlineStr">
        <is>
          <t>IR = aliq × (P_venda - P_compra)</t>
        </is>
      </c>
    </row>
    <row r="83">
      <c r="A83" t="inlineStr">
        <is>
          <t>NTNF cupom</t>
        </is>
      </c>
      <c r="B83" t="inlineStr">
        <is>
          <t>Usar cupom 5% a.s. linear (10%/2)</t>
        </is>
      </c>
      <c r="C83" t="inlineStr">
        <is>
          <t>Correto: (1,10)^0,5 - 1 = 4,88% efetivo a.s.</t>
        </is>
      </c>
    </row>
  </sheetData>
  <mergeCells count="12">
    <mergeCell ref="A60:C60"/>
    <mergeCell ref="A19:C19"/>
    <mergeCell ref="A36:C36"/>
    <mergeCell ref="A68:C68"/>
    <mergeCell ref="A26:C26"/>
    <mergeCell ref="A1:C1"/>
    <mergeCell ref="A75:C75"/>
    <mergeCell ref="A12:C12"/>
    <mergeCell ref="A4:C4"/>
    <mergeCell ref="A43:C43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5" customWidth="1" min="3" max="3"/>
  </cols>
  <sheetData>
    <row r="1" ht="24" customHeight="1">
      <c r="A1" s="1" t="inlineStr">
        <is>
          <t>LEGENDA DE ABREVIACOES</t>
        </is>
      </c>
    </row>
    <row r="3">
      <c r="A3" s="3" t="inlineStr">
        <is>
          <t>Taxas de juros (genericas)</t>
        </is>
      </c>
    </row>
    <row r="4">
      <c r="A4" s="24" t="inlineStr">
        <is>
          <t>Simbolo</t>
        </is>
      </c>
      <c r="B4" s="24" t="inlineStr">
        <is>
          <t>Le-se</t>
        </is>
      </c>
      <c r="C4" s="24" t="inlineStr">
        <is>
          <t>Significado</t>
        </is>
      </c>
    </row>
    <row r="5">
      <c r="A5" s="25" t="inlineStr">
        <is>
          <t>i</t>
        </is>
      </c>
      <c r="B5" t="inlineStr">
        <is>
          <t>i</t>
        </is>
      </c>
      <c r="C5" t="inlineStr">
        <is>
          <t>Taxa de juros generica</t>
        </is>
      </c>
    </row>
    <row r="6">
      <c r="A6" s="25" t="inlineStr">
        <is>
          <t>i_aa</t>
        </is>
      </c>
      <c r="B6" t="inlineStr">
        <is>
          <t>i ao ano</t>
        </is>
      </c>
      <c r="C6" t="inlineStr">
        <is>
          <t>Taxa anual (ex: 10% a.a.)</t>
        </is>
      </c>
    </row>
    <row r="7">
      <c r="A7" s="25" t="inlineStr">
        <is>
          <t>i_am</t>
        </is>
      </c>
      <c r="B7" t="inlineStr">
        <is>
          <t>i ao mes</t>
        </is>
      </c>
      <c r="C7" t="inlineStr">
        <is>
          <t>Taxa mensal</t>
        </is>
      </c>
    </row>
    <row r="8">
      <c r="A8" s="25" t="inlineStr">
        <is>
          <t>i_as</t>
        </is>
      </c>
      <c r="B8" t="inlineStr">
        <is>
          <t>i ao semestre</t>
        </is>
      </c>
      <c r="C8" t="inlineStr">
        <is>
          <t>Taxa semestral</t>
        </is>
      </c>
    </row>
    <row r="9">
      <c r="A9" s="25" t="inlineStr">
        <is>
          <t>i_du, i_d</t>
        </is>
      </c>
      <c r="B9" t="inlineStr">
        <is>
          <t>i ao dia util</t>
        </is>
      </c>
      <c r="C9" t="inlineStr">
        <is>
          <t>Taxa por dia util (a.d.u.)</t>
        </is>
      </c>
    </row>
    <row r="10">
      <c r="A10" s="25" t="inlineStr">
        <is>
          <t>i_p</t>
        </is>
      </c>
      <c r="B10" t="inlineStr">
        <is>
          <t>i do periodo</t>
        </is>
      </c>
      <c r="C10" t="inlineStr">
        <is>
          <t>Taxa de um periodo generico de n du</t>
        </is>
      </c>
    </row>
    <row r="11">
      <c r="A11" s="25" t="inlineStr">
        <is>
          <t>r</t>
        </is>
      </c>
      <c r="B11" t="inlineStr">
        <is>
          <t>r</t>
        </is>
      </c>
      <c r="C11" t="inlineStr">
        <is>
          <t>Mesmo que i. Usado em cambio (r_BRL, r_USD)</t>
        </is>
      </c>
    </row>
    <row r="13">
      <c r="A13" s="3" t="inlineStr">
        <is>
          <t>Unidades temporais</t>
        </is>
      </c>
    </row>
    <row r="14">
      <c r="A14" s="24" t="inlineStr">
        <is>
          <t>Simbolo</t>
        </is>
      </c>
      <c r="B14" s="24" t="inlineStr"/>
      <c r="C14" s="24" t="inlineStr">
        <is>
          <t>Significado</t>
        </is>
      </c>
    </row>
    <row r="15">
      <c r="A15" s="25" t="inlineStr">
        <is>
          <t>du</t>
        </is>
      </c>
      <c r="B15" t="inlineStr"/>
      <c r="C15" t="inlineStr">
        <is>
          <t>Dias uteis (base 252 no BR)</t>
        </is>
      </c>
    </row>
    <row r="16">
      <c r="A16" s="25" t="inlineStr">
        <is>
          <t>dc</t>
        </is>
      </c>
      <c r="B16" t="inlineStr"/>
      <c r="C16" t="inlineStr">
        <is>
          <t>Dias corridos (base 365, calendario civil)</t>
        </is>
      </c>
    </row>
    <row r="17">
      <c r="A17" s="25" t="inlineStr">
        <is>
          <t>a.a.</t>
        </is>
      </c>
      <c r="B17" t="inlineStr"/>
      <c r="C17" t="inlineStr">
        <is>
          <t>Ao ano (anual)</t>
        </is>
      </c>
    </row>
    <row r="18">
      <c r="A18" s="25" t="inlineStr">
        <is>
          <t>a.m.</t>
        </is>
      </c>
      <c r="B18" t="inlineStr"/>
      <c r="C18" t="inlineStr">
        <is>
          <t>Ao mes (mensal)</t>
        </is>
      </c>
    </row>
    <row r="19">
      <c r="A19" s="25" t="inlineStr">
        <is>
          <t>a.s.</t>
        </is>
      </c>
      <c r="B19" t="inlineStr"/>
      <c r="C19" t="inlineStr">
        <is>
          <t>Ao semestre (semestral)</t>
        </is>
      </c>
    </row>
    <row r="20">
      <c r="A20" s="25" t="inlineStr">
        <is>
          <t>a.d., a.d.u.</t>
        </is>
      </c>
      <c r="B20" t="inlineStr"/>
      <c r="C20" t="inlineStr">
        <is>
          <t>Ao dia util (diaria)</t>
        </is>
      </c>
    </row>
    <row r="21">
      <c r="A21" s="25" t="inlineStr">
        <is>
          <t>a.p.</t>
        </is>
      </c>
      <c r="B21" t="inlineStr"/>
      <c r="C21" t="inlineStr">
        <is>
          <t>Ao periodo</t>
        </is>
      </c>
    </row>
    <row r="23">
      <c r="A23" s="3" t="inlineStr">
        <is>
          <t>Taxas especificas de produtos</t>
        </is>
      </c>
    </row>
    <row r="24">
      <c r="A24" s="24" t="inlineStr">
        <is>
          <t>Simbolo</t>
        </is>
      </c>
      <c r="B24" s="24" t="inlineStr"/>
      <c r="C24" s="24" t="inlineStr">
        <is>
          <t>Significado</t>
        </is>
      </c>
    </row>
    <row r="25">
      <c r="A25" s="25" t="inlineStr">
        <is>
          <t>i_DI_dia, i_DI_d</t>
        </is>
      </c>
      <c r="B25" t="inlineStr"/>
      <c r="C25" t="inlineStr">
        <is>
          <t>Taxa CDI convertida pra diaria. = (1 + CDI_aa)^(1/252) - 1</t>
        </is>
      </c>
    </row>
    <row r="26">
      <c r="A26" s="25" t="inlineStr">
        <is>
          <t>i_CDB_dia, i_CDB_d</t>
        </is>
      </c>
      <c r="B26" t="inlineStr"/>
      <c r="C26" t="inlineStr">
        <is>
          <t>Taxa diaria do CDB. = %CDI x i_DI_dia</t>
        </is>
      </c>
    </row>
    <row r="27">
      <c r="A27" s="25" t="inlineStr">
        <is>
          <t>%CDI</t>
        </is>
      </c>
      <c r="B27" t="inlineStr"/>
      <c r="C27" t="inlineStr">
        <is>
          <t>Percentual do CDI que o produto paga (ex: 90%, 127%, 238%)</t>
        </is>
      </c>
    </row>
    <row r="28">
      <c r="A28" s="25" t="inlineStr">
        <is>
          <t>CDI_aa</t>
        </is>
      </c>
      <c r="B28" t="inlineStr"/>
      <c r="C28" t="inlineStr">
        <is>
          <t>Taxa CDI anualizada (como divulgada no mercado)</t>
        </is>
      </c>
    </row>
    <row r="29">
      <c r="A29" s="25" t="inlineStr">
        <is>
          <t>YTM</t>
        </is>
      </c>
      <c r="B29" t="inlineStr"/>
      <c r="C29" t="inlineStr">
        <is>
          <t>Yield to Maturity. Taxa interna de retorno do titulo ate o vencimento, anualizada</t>
        </is>
      </c>
    </row>
    <row r="31">
      <c r="A31" s="3" t="inlineStr">
        <is>
          <t>Precos e fluxos de titulos</t>
        </is>
      </c>
    </row>
    <row r="32">
      <c r="A32" s="24" t="inlineStr">
        <is>
          <t>Simbolo</t>
        </is>
      </c>
      <c r="B32" s="24" t="inlineStr"/>
      <c r="C32" s="24" t="inlineStr">
        <is>
          <t>Significado</t>
        </is>
      </c>
    </row>
    <row r="33">
      <c r="A33" s="25" t="inlineStr">
        <is>
          <t>P</t>
        </is>
      </c>
      <c r="B33" t="inlineStr"/>
      <c r="C33" t="inlineStr">
        <is>
          <t>Preco do titulo hoje</t>
        </is>
      </c>
    </row>
    <row r="34">
      <c r="A34" s="25" t="inlineStr">
        <is>
          <t>P0</t>
        </is>
      </c>
      <c r="B34" t="inlineStr"/>
      <c r="C34" t="inlineStr">
        <is>
          <t>Preco na compra</t>
        </is>
      </c>
    </row>
    <row r="35">
      <c r="A35" s="25" t="inlineStr">
        <is>
          <t>P1</t>
        </is>
      </c>
      <c r="B35" t="inlineStr"/>
      <c r="C35" t="inlineStr">
        <is>
          <t>Preco na venda (intermediaria)</t>
        </is>
      </c>
    </row>
    <row r="36">
      <c r="A36" s="25" t="inlineStr">
        <is>
          <t>VN, VF</t>
        </is>
      </c>
      <c r="B36" t="inlineStr"/>
      <c r="C36" t="inlineStr">
        <is>
          <t>Valor de face / valor nominal. LTN e NTN-F: sempre R$ 1.000</t>
        </is>
      </c>
    </row>
    <row r="37">
      <c r="A37" s="25" t="inlineStr">
        <is>
          <t>Cupom</t>
        </is>
      </c>
      <c r="B37" t="inlineStr"/>
      <c r="C37" t="inlineStr">
        <is>
          <t>Cupom da NTN-F: R$ 48,8088 a cada semestre</t>
        </is>
      </c>
    </row>
    <row r="38">
      <c r="A38" s="25" t="inlineStr">
        <is>
          <t>du_k</t>
        </is>
      </c>
      <c r="B38" t="inlineStr"/>
      <c r="C38" t="inlineStr">
        <is>
          <t>Dias uteis ate o k-esimo cupom</t>
        </is>
      </c>
    </row>
    <row r="39">
      <c r="A39" s="25" t="inlineStr">
        <is>
          <t>du_N</t>
        </is>
      </c>
      <c r="B39" t="inlineStr"/>
      <c r="C39" t="inlineStr">
        <is>
          <t>Dias uteis ate o ultimo fluxo (vencimento)</t>
        </is>
      </c>
    </row>
    <row r="40">
      <c r="A40" s="25" t="inlineStr">
        <is>
          <t>n</t>
        </is>
      </c>
      <c r="B40" t="inlineStr"/>
      <c r="C40" t="inlineStr">
        <is>
          <t>Numero de periodos</t>
        </is>
      </c>
    </row>
    <row r="42">
      <c r="A42" s="3" t="inlineStr">
        <is>
          <t>Simbolos matematicos</t>
        </is>
      </c>
    </row>
    <row r="43">
      <c r="A43" s="24" t="inlineStr">
        <is>
          <t>Simbolo</t>
        </is>
      </c>
      <c r="B43" s="24" t="inlineStr">
        <is>
          <t>Le-se</t>
        </is>
      </c>
      <c r="C43" s="24" t="inlineStr">
        <is>
          <t>Significado</t>
        </is>
      </c>
    </row>
    <row r="44">
      <c r="A44" s="25" t="inlineStr">
        <is>
          <t>Σ</t>
        </is>
      </c>
      <c r="B44" t="inlineStr">
        <is>
          <t>Sigma maiusculo</t>
        </is>
      </c>
      <c r="C44" t="inlineStr">
        <is>
          <t>Somatorio (somar todos os termos)</t>
        </is>
      </c>
    </row>
    <row r="45">
      <c r="A45" s="25" t="inlineStr">
        <is>
          <t>Π</t>
        </is>
      </c>
      <c r="B45" t="inlineStr">
        <is>
          <t>Pi maiusculo</t>
        </is>
      </c>
      <c r="C45" t="inlineStr">
        <is>
          <t>Produtorio (multiplicar todos os termos)</t>
        </is>
      </c>
    </row>
    <row r="46">
      <c r="A46" s="25" t="inlineStr">
        <is>
          <t>Δ</t>
        </is>
      </c>
      <c r="B46" t="inlineStr">
        <is>
          <t>Delta</t>
        </is>
      </c>
      <c r="C46" t="inlineStr">
        <is>
          <t>Variacao (Δdu = dias uteis decorridos)</t>
        </is>
      </c>
    </row>
    <row r="47">
      <c r="A47" s="25" t="inlineStr">
        <is>
          <t>π</t>
        </is>
      </c>
      <c r="B47" t="inlineStr">
        <is>
          <t>Pi minusculo</t>
        </is>
      </c>
      <c r="C47" t="inlineStr">
        <is>
          <t>Taxa de inflacao</t>
        </is>
      </c>
    </row>
    <row r="48">
      <c r="A48" s="25" t="inlineStr">
        <is>
          <t>^</t>
        </is>
      </c>
      <c r="B48" t="inlineStr">
        <is>
          <t>elevado a</t>
        </is>
      </c>
      <c r="C48" t="inlineStr">
        <is>
          <t>Potenciacao. (1+i)^n = (1+i) elevado a n</t>
        </is>
      </c>
    </row>
    <row r="50">
      <c r="A50" s="3" t="inlineStr">
        <is>
          <t>Cambio</t>
        </is>
      </c>
    </row>
    <row r="51">
      <c r="A51" s="24" t="inlineStr">
        <is>
          <t>Simbolo</t>
        </is>
      </c>
      <c r="B51" s="24" t="inlineStr"/>
      <c r="C51" s="24" t="inlineStr">
        <is>
          <t>Significado</t>
        </is>
      </c>
    </row>
    <row r="52">
      <c r="A52" s="25" t="inlineStr">
        <is>
          <t>S</t>
        </is>
      </c>
      <c r="B52" t="inlineStr"/>
      <c r="C52" t="inlineStr">
        <is>
          <t>Spot. Taxa de cambio a vista (hoje)</t>
        </is>
      </c>
    </row>
    <row r="53">
      <c r="A53" s="25" t="inlineStr">
        <is>
          <t>F</t>
        </is>
      </c>
      <c r="B53" t="inlineStr"/>
      <c r="C53" t="inlineStr">
        <is>
          <t>Forward. Taxa de cambio futura (acordada hoje, liquida em data futura)</t>
        </is>
      </c>
    </row>
    <row r="54">
      <c r="A54" s="25" t="inlineStr">
        <is>
          <t>S_BRL/USD</t>
        </is>
      </c>
      <c r="B54" t="inlineStr"/>
      <c r="C54" t="inlineStr">
        <is>
          <t>Spot da cotacao BRL por USD (quanto BRL custa 1 USD)</t>
        </is>
      </c>
    </row>
    <row r="55">
      <c r="A55" s="25" t="inlineStr">
        <is>
          <t>r_quote</t>
        </is>
      </c>
      <c r="B55" t="inlineStr"/>
      <c r="C55" t="inlineStr">
        <is>
          <t>Taxa de juros da moeda do numerador (ex: BRL em BRL/USD)</t>
        </is>
      </c>
    </row>
    <row r="56">
      <c r="A56" s="25" t="inlineStr">
        <is>
          <t>r_base</t>
        </is>
      </c>
      <c r="B56" t="inlineStr"/>
      <c r="C56" t="inlineStr">
        <is>
          <t>Taxa de juros da moeda do denominador (ex: USD em BRL/USD)</t>
        </is>
      </c>
    </row>
    <row r="57">
      <c r="A57" s="25" t="inlineStr">
        <is>
          <t>π_local</t>
        </is>
      </c>
      <c r="B57" t="inlineStr"/>
      <c r="C57" t="inlineStr">
        <is>
          <t>Inflacao domestica</t>
        </is>
      </c>
    </row>
    <row r="58">
      <c r="A58" s="25" t="inlineStr">
        <is>
          <t>π_estrangeira</t>
        </is>
      </c>
      <c r="B58" t="inlineStr"/>
      <c r="C58" t="inlineStr">
        <is>
          <t>Inflacao do pais estrangeiro</t>
        </is>
      </c>
    </row>
    <row r="60">
      <c r="A60" s="3" t="inlineStr">
        <is>
          <t>Notacoes curtas</t>
        </is>
      </c>
    </row>
    <row r="61">
      <c r="A61" s="24" t="inlineStr">
        <is>
          <t>Simbolo</t>
        </is>
      </c>
      <c r="B61" s="24" t="inlineStr"/>
      <c r="C61" s="24" t="inlineStr">
        <is>
          <t>Significado</t>
        </is>
      </c>
    </row>
    <row r="62">
      <c r="A62" s="25" t="inlineStr">
        <is>
          <t>F1, F2, f1, f2</t>
        </is>
      </c>
      <c r="B62" t="inlineStr"/>
      <c r="C62" t="inlineStr">
        <is>
          <t>Fatores de capitalizacao. Fator = (1 + taxa)^prazo</t>
        </is>
      </c>
    </row>
    <row r="63">
      <c r="A63" s="25" t="inlineStr">
        <is>
          <t>(1+i)</t>
        </is>
      </c>
      <c r="B63" t="inlineStr"/>
      <c r="C63" t="inlineStr">
        <is>
          <t>Fator de capitalizacao (sempre 1 + taxa)</t>
        </is>
      </c>
    </row>
    <row r="64">
      <c r="A64" s="25" t="inlineStr">
        <is>
          <t>(1+i_BR)/(1+i_US)</t>
        </is>
      </c>
      <c r="B64" t="inlineStr"/>
      <c r="C64" t="inlineStr">
        <is>
          <t>Razao de fatores entre dois paises (vai em IRP)</t>
        </is>
      </c>
    </row>
  </sheetData>
  <mergeCells count="8">
    <mergeCell ref="A42:C42"/>
    <mergeCell ref="A60:C60"/>
    <mergeCell ref="A13:C13"/>
    <mergeCell ref="A1:C1"/>
    <mergeCell ref="A23:C23"/>
    <mergeCell ref="A31:C31"/>
    <mergeCell ref="A3:C3"/>
    <mergeCell ref="A50:C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8" customWidth="1" min="4" max="4"/>
    <col width="50" customWidth="1" min="5" max="5"/>
  </cols>
  <sheetData>
    <row r="1">
      <c r="A1" s="1" t="inlineStr">
        <is>
          <t>LISTA 7 — DI / SELIC / CDI / CDB</t>
        </is>
      </c>
    </row>
    <row r="3">
      <c r="A3" s="3" t="inlineStr">
        <is>
          <t>Q91 — Taxa acumulada mensal a partir de taxa diaria</t>
        </is>
      </c>
    </row>
    <row r="4">
      <c r="B4" t="inlineStr">
        <is>
          <t>Mes com 21 du, rendimento 0,06% a.d. Taxa acumulada?</t>
        </is>
      </c>
    </row>
    <row r="5">
      <c r="B5" t="inlineStr">
        <is>
          <t>Dias uteis</t>
        </is>
      </c>
      <c r="C5" t="n">
        <v>21</v>
      </c>
    </row>
    <row r="6">
      <c r="B6" t="inlineStr">
        <is>
          <t>Rendimento a.d.</t>
        </is>
      </c>
      <c r="C6" s="6" t="n">
        <v>0.0005999999999999999</v>
      </c>
    </row>
    <row r="7">
      <c r="B7" t="inlineStr">
        <is>
          <t>Taxa acum mes ((1+id)^n - 1)</t>
        </is>
      </c>
      <c r="C7" s="7">
        <f>(1+C5)^C4-1</f>
        <v/>
      </c>
      <c r="E7">
        <f> (1+0,0006)^21 - 1 = 1,27% a.m.</f>
        <v/>
      </c>
    </row>
    <row r="9">
      <c r="A9" s="3" t="inlineStr">
        <is>
          <t>Q93m — Fundo de renda fixa (cotas)</t>
        </is>
      </c>
    </row>
    <row r="10">
      <c r="B10" t="inlineStr">
        <is>
          <t>Capital aplicado</t>
        </is>
      </c>
      <c r="C10" s="8" t="n">
        <v>23000</v>
      </c>
    </row>
    <row r="11">
      <c r="B11" t="inlineStr">
        <is>
          <t>Cota aplicacao</t>
        </is>
      </c>
      <c r="C11" t="n">
        <v>7.863455</v>
      </c>
    </row>
    <row r="12">
      <c r="B12" t="inlineStr">
        <is>
          <t>Cota resgate</t>
        </is>
      </c>
      <c r="C12" t="n">
        <v>8.115086</v>
      </c>
    </row>
    <row r="13">
      <c r="B13" t="inlineStr">
        <is>
          <t>Dias uteis</t>
        </is>
      </c>
      <c r="C13" t="n">
        <v>43</v>
      </c>
    </row>
    <row r="14">
      <c r="B14" t="inlineStr">
        <is>
          <t>a) Taxa rentab periodo</t>
        </is>
      </c>
      <c r="C14" s="7">
        <f>C12/C11-1</f>
        <v/>
      </c>
      <c r="E14" t="inlineStr">
        <is>
          <t>3,20%</t>
        </is>
      </c>
    </row>
    <row r="15">
      <c r="B15" t="inlineStr">
        <is>
          <t>b) Taxa a.d.u.</t>
        </is>
      </c>
      <c r="C15" s="7">
        <f>(1+C14)^(1/C13)-1</f>
        <v/>
      </c>
      <c r="E15" t="inlineStr">
        <is>
          <t>0,0733%</t>
        </is>
      </c>
    </row>
    <row r="16">
      <c r="B16" t="inlineStr">
        <is>
          <t>c) Cotas adquiridas</t>
        </is>
      </c>
      <c r="C16" s="9">
        <f>C9/C10</f>
        <v/>
      </c>
      <c r="E16" t="inlineStr">
        <is>
          <t>2.924,92</t>
        </is>
      </c>
    </row>
    <row r="17">
      <c r="B17" t="inlineStr">
        <is>
          <t>Aliquota IR (20%)</t>
        </is>
      </c>
      <c r="C17" s="10" t="n">
        <v>0.2</v>
      </c>
    </row>
    <row r="18">
      <c r="B18" t="inlineStr">
        <is>
          <t>Juros bruto</t>
        </is>
      </c>
      <c r="C18" s="11">
        <f>C9*C13</f>
        <v/>
      </c>
    </row>
    <row r="19">
      <c r="B19" t="inlineStr">
        <is>
          <t>d) IR a pagar</t>
        </is>
      </c>
      <c r="C19" s="11">
        <f>C17*C18</f>
        <v/>
      </c>
      <c r="E19" t="inlineStr">
        <is>
          <t>R$ 147,20</t>
        </is>
      </c>
    </row>
    <row r="20">
      <c r="B20" t="inlineStr">
        <is>
          <t>e) Saldo liquido</t>
        </is>
      </c>
      <c r="C20" s="11">
        <f>C9+C18-C19</f>
        <v/>
      </c>
      <c r="E20" t="inlineStr">
        <is>
          <t>R$ 23.588,80</t>
        </is>
      </c>
    </row>
    <row r="22">
      <c r="A22" s="3" t="inlineStr">
        <is>
          <t>Q94 — CDI 1 dia util</t>
        </is>
      </c>
    </row>
    <row r="23">
      <c r="B23" t="inlineStr">
        <is>
          <t>Capital</t>
        </is>
      </c>
      <c r="C23" s="8" t="n">
        <v>12000000</v>
      </c>
    </row>
    <row r="24">
      <c r="B24" t="inlineStr">
        <is>
          <t>CDI a.a.</t>
        </is>
      </c>
      <c r="C24" s="12" t="n">
        <v>0.185</v>
      </c>
    </row>
    <row r="25">
      <c r="B25" t="inlineStr">
        <is>
          <t>i_DI_du</t>
        </is>
      </c>
      <c r="C25" s="13">
        <f>(1+C24)^(1/252)-1</f>
        <v/>
      </c>
      <c r="E25" t="inlineStr">
        <is>
          <t>0,0674%</t>
        </is>
      </c>
    </row>
    <row r="26">
      <c r="B26" t="inlineStr">
        <is>
          <t>a) Montante (1 du)</t>
        </is>
      </c>
      <c r="C26" s="11">
        <f>C23*(1+C25)</f>
        <v/>
      </c>
      <c r="E26" t="inlineStr">
        <is>
          <t>R$ 12.008.085,71</t>
        </is>
      </c>
    </row>
    <row r="27">
      <c r="B27" t="inlineStr">
        <is>
          <t>c) Taxa mensal (21 du)</t>
        </is>
      </c>
      <c r="C27" s="7">
        <f>(1+C25)^(21/252)-1</f>
        <v/>
      </c>
      <c r="E27" t="inlineStr">
        <is>
          <t>1,4246% a.m.</t>
        </is>
      </c>
    </row>
    <row r="29">
      <c r="A29" s="3" t="inlineStr">
        <is>
          <t>Q96m — SELIC 3 du seguidos, taxas diferentes</t>
        </is>
      </c>
    </row>
    <row r="30">
      <c r="B30" t="inlineStr">
        <is>
          <t>Capital</t>
        </is>
      </c>
      <c r="C30" t="n">
        <v>6000000</v>
      </c>
    </row>
    <row r="31">
      <c r="B31" t="inlineStr">
        <is>
          <t>SELIC dia 1</t>
        </is>
      </c>
      <c r="C31" s="12" t="n">
        <v>0.18</v>
      </c>
    </row>
    <row r="32">
      <c r="B32" t="inlineStr">
        <is>
          <t>SELIC dia 2</t>
        </is>
      </c>
      <c r="C32" s="12" t="n">
        <v>0.184</v>
      </c>
    </row>
    <row r="33">
      <c r="B33" t="inlineStr">
        <is>
          <t>SELIC dia 3</t>
        </is>
      </c>
      <c r="C33" s="12" t="n">
        <v>0.185</v>
      </c>
    </row>
    <row r="34">
      <c r="B34" t="inlineStr">
        <is>
          <t>i_d 1</t>
        </is>
      </c>
      <c r="C34" s="13">
        <f>(1+C31)^(1/252)-1</f>
        <v/>
      </c>
    </row>
    <row r="35">
      <c r="B35" t="inlineStr">
        <is>
          <t>i_d 2</t>
        </is>
      </c>
      <c r="C35" s="13">
        <f>(1+C32)^(1/252)-1</f>
        <v/>
      </c>
    </row>
    <row r="36">
      <c r="B36" t="inlineStr">
        <is>
          <t>i_d 3</t>
        </is>
      </c>
      <c r="C36" s="13">
        <f>(1+C33)^(1/252)-1</f>
        <v/>
      </c>
    </row>
    <row r="37">
      <c r="B37" t="inlineStr">
        <is>
          <t>a) Montante final</t>
        </is>
      </c>
      <c r="C37" s="11">
        <f>C30*(1+C34)*(1+C35)*(1+C36)</f>
        <v/>
      </c>
      <c r="E37" t="inlineStr">
        <is>
          <t>R$ 6.012.015,72</t>
        </is>
      </c>
    </row>
    <row r="38">
      <c r="B38" t="inlineStr">
        <is>
          <t>b) Taxa do periodo</t>
        </is>
      </c>
      <c r="C38" s="7">
        <f>C37/C30-1</f>
        <v/>
      </c>
      <c r="E38" t="inlineStr">
        <is>
          <t>0,2003%</t>
        </is>
      </c>
    </row>
    <row r="40">
      <c r="A40" s="3" t="inlineStr">
        <is>
          <t>Q101m — CDB 90% CDI, CDI variando</t>
        </is>
      </c>
    </row>
    <row r="41">
      <c r="B41" t="inlineStr">
        <is>
          <t>Capital</t>
        </is>
      </c>
      <c r="C41" t="n">
        <v>15000</v>
      </c>
    </row>
    <row r="42">
      <c r="B42" t="inlineStr">
        <is>
          <t>% do CDI</t>
        </is>
      </c>
      <c r="C42" s="10" t="n">
        <v>0.9</v>
      </c>
    </row>
    <row r="43">
      <c r="B43" t="inlineStr">
        <is>
          <t>CDI dia 1</t>
        </is>
      </c>
      <c r="C43" s="12" t="n">
        <v>0.1423</v>
      </c>
    </row>
    <row r="44">
      <c r="B44" t="inlineStr">
        <is>
          <t>CDI dia 2</t>
        </is>
      </c>
      <c r="C44" s="12" t="n">
        <v>0.1442</v>
      </c>
    </row>
    <row r="45">
      <c r="B45" t="inlineStr">
        <is>
          <t>i_DI_d 1</t>
        </is>
      </c>
      <c r="C45" s="14">
        <f>(1+C43)^(1/252)-1</f>
        <v/>
      </c>
    </row>
    <row r="46">
      <c r="B46" t="inlineStr">
        <is>
          <t>i_DI_d 2</t>
        </is>
      </c>
      <c r="C46" s="14">
        <f>(1+C44)^(1/252)-1</f>
        <v/>
      </c>
    </row>
    <row r="47">
      <c r="B47" t="inlineStr">
        <is>
          <t>i_CDB_d 1</t>
        </is>
      </c>
      <c r="C47" s="14">
        <f>C42*C45</f>
        <v/>
      </c>
    </row>
    <row r="48">
      <c r="B48" t="inlineStr">
        <is>
          <t>i_CDB_d 2</t>
        </is>
      </c>
      <c r="C48" s="14">
        <f>C42*C46</f>
        <v/>
      </c>
    </row>
    <row r="49">
      <c r="B49" t="inlineStr">
        <is>
          <t>a) Montante 2 du</t>
        </is>
      </c>
      <c r="C49" s="11">
        <f>C41*(1+C47)*(1+C48)</f>
        <v/>
      </c>
      <c r="E49" t="inlineStr">
        <is>
          <t>R$ 15.014,35</t>
        </is>
      </c>
    </row>
    <row r="50">
      <c r="B50" t="inlineStr">
        <is>
          <t>b) Taxa periodo</t>
        </is>
      </c>
      <c r="C50" s="13">
        <f>C49/C41-1</f>
        <v/>
      </c>
      <c r="E50" t="inlineStr">
        <is>
          <t>0,0957%</t>
        </is>
      </c>
    </row>
    <row r="51">
      <c r="B51" t="inlineStr">
        <is>
          <t>c) Taxa media a.d.</t>
        </is>
      </c>
      <c r="C51" s="13">
        <f>(1+C50)^(1/2)-1</f>
        <v/>
      </c>
      <c r="E51" t="inlineStr">
        <is>
          <t>0,0478% a.d.</t>
        </is>
      </c>
    </row>
    <row r="53">
      <c r="A53" s="3" t="inlineStr">
        <is>
          <t>Extra2 — LCI 92% DI, 52 du com DI constante</t>
        </is>
      </c>
    </row>
    <row r="54">
      <c r="B54" t="inlineStr">
        <is>
          <t>Capital</t>
        </is>
      </c>
      <c r="C54" t="n">
        <v>10000</v>
      </c>
    </row>
    <row r="55">
      <c r="B55" t="inlineStr">
        <is>
          <t>DI a.a.</t>
        </is>
      </c>
      <c r="C55" t="n">
        <v>0.1442</v>
      </c>
    </row>
    <row r="56">
      <c r="B56" t="inlineStr">
        <is>
          <t>Prazo (du)</t>
        </is>
      </c>
      <c r="C56" t="n">
        <v>52</v>
      </c>
    </row>
    <row r="57">
      <c r="B57" t="inlineStr">
        <is>
          <t>% DI</t>
        </is>
      </c>
      <c r="C57" t="n">
        <v>0.92</v>
      </c>
    </row>
    <row r="58">
      <c r="B58" t="inlineStr">
        <is>
          <t>i_DI_du</t>
        </is>
      </c>
      <c r="C58" s="14">
        <f>(1+C55)^(1/252)-1</f>
        <v/>
      </c>
    </row>
    <row r="59">
      <c r="B59" t="inlineStr">
        <is>
          <t>i_LCI_du</t>
        </is>
      </c>
      <c r="C59" s="14">
        <f>C57*C58</f>
        <v/>
      </c>
    </row>
    <row r="60">
      <c r="B60" t="inlineStr">
        <is>
          <t>Resgate</t>
        </is>
      </c>
      <c r="C60" s="11">
        <f>C54*(1+C59)^C56</f>
        <v/>
      </c>
      <c r="E60" t="inlineStr">
        <is>
          <t>R$ 10.259</t>
        </is>
      </c>
    </row>
    <row r="62">
      <c r="A62" s="3" t="inlineStr">
        <is>
          <t>Extra3 — Fundo 135% DI em 2 periodos</t>
        </is>
      </c>
    </row>
    <row r="63">
      <c r="B63" t="inlineStr">
        <is>
          <t>% DI</t>
        </is>
      </c>
      <c r="C63" t="n">
        <v>1.35</v>
      </c>
    </row>
    <row r="64">
      <c r="B64" t="inlineStr">
        <is>
          <t>DI sem 1 — 126 du</t>
        </is>
      </c>
      <c r="C64" t="n">
        <v>0.1425</v>
      </c>
    </row>
    <row r="65">
      <c r="B65" t="inlineStr">
        <is>
          <t>DI tri 3 — 63 du</t>
        </is>
      </c>
      <c r="C65" t="n">
        <v>0.1475</v>
      </c>
    </row>
    <row r="66">
      <c r="B66" t="inlineStr">
        <is>
          <t>i_DI_d 1</t>
        </is>
      </c>
      <c r="C66" s="15">
        <f>(1+C64)^(1/252)-1</f>
        <v/>
      </c>
    </row>
    <row r="67">
      <c r="B67" t="inlineStr">
        <is>
          <t>i_DI_d 2</t>
        </is>
      </c>
      <c r="C67" s="15">
        <f>(1+C65)^(1/252)-1</f>
        <v/>
      </c>
    </row>
    <row r="68">
      <c r="B68" t="inlineStr">
        <is>
          <t>i_Fundo_d 1</t>
        </is>
      </c>
      <c r="C68" s="15">
        <f>C63*C66</f>
        <v/>
      </c>
    </row>
    <row r="69">
      <c r="B69" t="inlineStr">
        <is>
          <t>i_Fundo_d 2</t>
        </is>
      </c>
      <c r="C69" s="15">
        <f>C63*C67</f>
        <v/>
      </c>
    </row>
    <row r="70">
      <c r="B70" t="inlineStr">
        <is>
          <t>Fator total</t>
        </is>
      </c>
      <c r="C70" s="13">
        <f>(1+C68)^126*(1+C69)^63-1</f>
        <v/>
      </c>
    </row>
    <row r="71">
      <c r="B71" t="inlineStr">
        <is>
          <t>Anualizado (189 du)</t>
        </is>
      </c>
      <c r="C71" s="7">
        <f>(1+C70)^(252/189)-1</f>
        <v/>
      </c>
      <c r="E71" t="inlineStr">
        <is>
          <t>~19,8% a.a.</t>
        </is>
      </c>
    </row>
  </sheetData>
  <mergeCells count="8">
    <mergeCell ref="A53:E53"/>
    <mergeCell ref="A29:E29"/>
    <mergeCell ref="A62:E62"/>
    <mergeCell ref="A1:E1"/>
    <mergeCell ref="A22:E22"/>
    <mergeCell ref="A40:E40"/>
    <mergeCell ref="A9:E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8" customWidth="1" min="4" max="4"/>
    <col width="60" customWidth="1" min="5" max="5"/>
  </cols>
  <sheetData>
    <row r="1">
      <c r="A1" s="1" t="inlineStr">
        <is>
          <t>LISTA 8 — LTN e NTN-F</t>
        </is>
      </c>
    </row>
    <row r="3">
      <c r="A3" s="3" t="inlineStr">
        <is>
          <t>Q1 — LTN: YTM a partir do preco</t>
        </is>
      </c>
    </row>
    <row r="4">
      <c r="B4" t="inlineStr">
        <is>
          <t>Preco</t>
        </is>
      </c>
      <c r="C4" t="n">
        <v>836.36</v>
      </c>
    </row>
    <row r="5">
      <c r="B5" t="inlineStr">
        <is>
          <t>Prazo (du)</t>
        </is>
      </c>
      <c r="C5" t="n">
        <v>756</v>
      </c>
    </row>
    <row r="6">
      <c r="B6" t="inlineStr">
        <is>
          <t>YTM = (1000/P)^(252/du) - 1</t>
        </is>
      </c>
      <c r="C6" s="7">
        <f>(1000/C4)^(252/C5)-1</f>
        <v/>
      </c>
      <c r="E6" t="inlineStr">
        <is>
          <t>6,14% a.a.</t>
        </is>
      </c>
    </row>
    <row r="8">
      <c r="A8" s="3" t="inlineStr">
        <is>
          <t>Q2 — LTN venda intermediaria (taxa caiu 2pp)</t>
        </is>
      </c>
    </row>
    <row r="9">
      <c r="B9" t="inlineStr">
        <is>
          <t>YTM original</t>
        </is>
      </c>
      <c r="C9" t="n">
        <v>0.0614</v>
      </c>
    </row>
    <row r="10">
      <c r="B10" t="inlineStr">
        <is>
          <t>Tempo decorrido (du)</t>
        </is>
      </c>
      <c r="C10" t="n">
        <v>66</v>
      </c>
    </row>
    <row r="11">
      <c r="B11" t="inlineStr">
        <is>
          <t>Nova YTM (-2pp)</t>
        </is>
      </c>
      <c r="C11" s="16">
        <f>C9-0.02</f>
        <v/>
      </c>
    </row>
    <row r="12">
      <c r="B12" t="inlineStr">
        <is>
          <t>Novo prazo (756-66)</t>
        </is>
      </c>
      <c r="C12" t="n">
        <v>690</v>
      </c>
    </row>
    <row r="13">
      <c r="B13" t="inlineStr">
        <is>
          <t>a) Preco de venda</t>
        </is>
      </c>
      <c r="C13" s="11">
        <f>1000/(1+C11)^(C12/252)</f>
        <v/>
      </c>
      <c r="E13" t="inlineStr">
        <is>
          <t>R$ 894,93</t>
        </is>
      </c>
    </row>
    <row r="14">
      <c r="B14" t="inlineStr">
        <is>
          <t>b) Lucro bruto</t>
        </is>
      </c>
      <c r="C14" s="11">
        <f>C13-836.36</f>
        <v/>
      </c>
      <c r="E14" t="inlineStr">
        <is>
          <t>R$ 58,57</t>
        </is>
      </c>
    </row>
    <row r="15">
      <c r="B15" t="inlineStr">
        <is>
          <t>c) Taxa retorno periodo</t>
        </is>
      </c>
      <c r="C15" s="7">
        <f>C13/836.36-1</f>
        <v/>
      </c>
      <c r="E15" t="inlineStr">
        <is>
          <t>7,00%</t>
        </is>
      </c>
    </row>
    <row r="16">
      <c r="B16" t="inlineStr">
        <is>
          <t>c) Anualizada</t>
        </is>
      </c>
      <c r="C16" s="7">
        <f>(1+C15)^(252/66)-1</f>
        <v/>
      </c>
      <c r="E16" t="inlineStr">
        <is>
          <t>29,49% (YTM CAIU, retorno &gt; YTM)</t>
        </is>
      </c>
    </row>
    <row r="18">
      <c r="A18" s="3" t="inlineStr">
        <is>
          <t>Q3 — NTN-F: YTM, preco com nova YTM</t>
        </is>
      </c>
    </row>
    <row r="19">
      <c r="B19" t="inlineStr">
        <is>
          <t>Preco compra</t>
        </is>
      </c>
      <c r="C19" t="n">
        <v>1078.16</v>
      </c>
    </row>
    <row r="20">
      <c r="B20" t="inlineStr">
        <is>
          <t>Cupom semestral</t>
        </is>
      </c>
      <c r="C20" t="n">
        <v>48.8088</v>
      </c>
    </row>
    <row r="21">
      <c r="B21" t="inlineStr">
        <is>
          <t>Fluxos (du): 56, 181, 305, 434</t>
        </is>
      </c>
    </row>
    <row r="22">
      <c r="B22" t="inlineStr">
        <is>
          <t>a) YTM (Goal Seek)</t>
        </is>
      </c>
      <c r="C22" s="7" t="n">
        <v>0.066774</v>
      </c>
      <c r="E22" t="inlineStr">
        <is>
          <t>6,68% a.a.</t>
        </is>
      </c>
    </row>
    <row r="23">
      <c r="B23" t="inlineStr">
        <is>
          <t>b) Preco com YTM 13,65%:</t>
        </is>
      </c>
    </row>
    <row r="24">
      <c r="B24" t="inlineStr">
        <is>
          <t>VP 01/07/23 (56 du)</t>
        </is>
      </c>
      <c r="C24" s="11">
        <f>48.8088/(1+0.1365)^(56/252)</f>
        <v/>
      </c>
    </row>
    <row r="25">
      <c r="B25" t="inlineStr">
        <is>
          <t>VP 01/01/24 (181 du)</t>
        </is>
      </c>
      <c r="C25" s="11">
        <f>48.8088/(1+0.1365)^(181/252)</f>
        <v/>
      </c>
    </row>
    <row r="26">
      <c r="B26" t="inlineStr">
        <is>
          <t>VP 01/07/24 (305 du)</t>
        </is>
      </c>
      <c r="C26" s="11">
        <f>48.8088/(1+0.1365)^(305/252)</f>
        <v/>
      </c>
    </row>
    <row r="27">
      <c r="B27" t="inlineStr">
        <is>
          <t>VP 01/01/25 cup+VF (434 du)</t>
        </is>
      </c>
      <c r="C27" s="11">
        <f>1048.81/(1+0.1365)^(434/252)</f>
        <v/>
      </c>
    </row>
    <row r="28">
      <c r="B28" t="inlineStr">
        <is>
          <t>Soma VPs = novo preco</t>
        </is>
      </c>
      <c r="C28" s="11">
        <f>SUM(C24:C27)</f>
        <v/>
      </c>
      <c r="E28" t="inlineStr">
        <is>
          <t>R$ 975,15</t>
        </is>
      </c>
    </row>
    <row r="29">
      <c r="B29" t="inlineStr">
        <is>
          <t>c) YTM com 52 du, P=989,95</t>
        </is>
      </c>
      <c r="C29" s="7">
        <f>(1048.81/989.95)^(252/52)-1</f>
        <v/>
      </c>
      <c r="E29" t="inlineStr">
        <is>
          <t>32,30% (so falta o ultimo fluxo)</t>
        </is>
      </c>
    </row>
    <row r="31">
      <c r="A31" s="3" t="inlineStr">
        <is>
          <t>Q4 — LTN preco a partir do YTM</t>
        </is>
      </c>
    </row>
    <row r="32">
      <c r="B32" t="inlineStr">
        <is>
          <t>YTM</t>
        </is>
      </c>
      <c r="C32" t="n">
        <v>0.115</v>
      </c>
    </row>
    <row r="33">
      <c r="B33" t="inlineStr">
        <is>
          <t>Prazo (du)</t>
        </is>
      </c>
      <c r="C33" t="n">
        <v>482</v>
      </c>
    </row>
    <row r="34">
      <c r="B34" t="inlineStr">
        <is>
          <t>Preco</t>
        </is>
      </c>
      <c r="C34" s="11">
        <f>1000/(1+C32)^(C33/252)</f>
        <v/>
      </c>
      <c r="E34" t="inlineStr">
        <is>
          <t>R$ 812,04. LTN nunca tem premio (P&gt;VF)</t>
        </is>
      </c>
    </row>
    <row r="36">
      <c r="A36" s="3" t="inlineStr">
        <is>
          <t>Q5 — NTN-F venda 504 du depois (taxa subiu)</t>
        </is>
      </c>
    </row>
    <row r="37">
      <c r="B37" t="inlineStr">
        <is>
          <t>YTM compra</t>
        </is>
      </c>
      <c r="C37" t="n">
        <v>0.0948</v>
      </c>
    </row>
    <row r="38">
      <c r="B38" t="inlineStr">
        <is>
          <t>Prazo total</t>
        </is>
      </c>
      <c r="C38" t="n">
        <v>2520</v>
      </c>
    </row>
    <row r="39">
      <c r="B39" t="inlineStr">
        <is>
          <t>Preco compra</t>
        </is>
      </c>
      <c r="C39" s="11" t="n">
        <v>1031.92</v>
      </c>
      <c r="E39" t="inlineStr">
        <is>
          <t>Premio: cupom 10% &gt; YTM 9,48%</t>
        </is>
      </c>
    </row>
    <row r="40">
      <c r="B40" t="inlineStr">
        <is>
          <t>Tempo passado</t>
        </is>
      </c>
      <c r="C40" t="n">
        <v>504</v>
      </c>
    </row>
    <row r="41">
      <c r="B41" t="inlineStr">
        <is>
          <t>Nova YTM</t>
        </is>
      </c>
      <c r="C41" t="n">
        <v>0.156</v>
      </c>
    </row>
    <row r="42">
      <c r="B42" t="inlineStr">
        <is>
          <t>Preco venda</t>
        </is>
      </c>
      <c r="C42" s="11" t="n">
        <v>759.252</v>
      </c>
      <c r="E42" t="inlineStr">
        <is>
          <t>2 motivos: YTM subiu + 4 cupons ja foram pagos</t>
        </is>
      </c>
    </row>
    <row r="44">
      <c r="A44" s="3" t="inlineStr">
        <is>
          <t>Q6 — NTN-F apos 1 ano, YTM nova</t>
        </is>
      </c>
    </row>
    <row r="45">
      <c r="B45" t="inlineStr">
        <is>
          <t>Du compra</t>
        </is>
      </c>
      <c r="C45" t="n">
        <v>1571</v>
      </c>
    </row>
    <row r="46">
      <c r="B46" t="inlineStr">
        <is>
          <t>YTM compra</t>
        </is>
      </c>
      <c r="C46" t="n">
        <v>0.1365</v>
      </c>
    </row>
    <row r="47">
      <c r="B47" t="inlineStr">
        <is>
          <t>Preco compra unit.</t>
        </is>
      </c>
      <c r="C47" s="11" t="n">
        <v>450.374</v>
      </c>
    </row>
    <row r="48">
      <c r="B48" t="inlineStr">
        <is>
          <t>12 unidades</t>
        </is>
      </c>
      <c r="C48" s="11">
        <f>12*C47</f>
        <v/>
      </c>
      <c r="E48" t="inlineStr">
        <is>
          <t>R$ 5.404,48</t>
        </is>
      </c>
    </row>
    <row r="49">
      <c r="B49" t="inlineStr">
        <is>
          <t>Du venda (-252)</t>
        </is>
      </c>
      <c r="C49" s="17">
        <f>C45-252</f>
        <v/>
      </c>
    </row>
    <row r="50">
      <c r="B50" t="inlineStr">
        <is>
          <t>YTM venda</t>
        </is>
      </c>
      <c r="C50" t="n">
        <v>0.1404</v>
      </c>
    </row>
    <row r="51">
      <c r="B51" t="inlineStr">
        <is>
          <t>Preco venda unit.</t>
        </is>
      </c>
      <c r="C51" s="11" t="n">
        <v>502.754</v>
      </c>
    </row>
    <row r="52">
      <c r="B52" t="inlineStr">
        <is>
          <t>Rendimento anualizado</t>
        </is>
      </c>
      <c r="C52" s="7">
        <f>C51/C47-1</f>
        <v/>
      </c>
      <c r="E52" t="inlineStr">
        <is>
          <t>11,63% (&lt; YTM compra pq taxas 'abriram')</t>
        </is>
      </c>
    </row>
    <row r="54">
      <c r="A54" s="3" t="inlineStr">
        <is>
          <t>Q7 — NTN-F venda 97 du</t>
        </is>
      </c>
    </row>
    <row r="55">
      <c r="B55" t="inlineStr">
        <is>
          <t>Preco compra</t>
        </is>
      </c>
      <c r="C55" t="n">
        <v>892.2</v>
      </c>
    </row>
    <row r="56">
      <c r="B56" t="inlineStr">
        <is>
          <t>Tempo passado</t>
        </is>
      </c>
      <c r="C56" t="n">
        <v>97</v>
      </c>
    </row>
    <row r="57">
      <c r="B57" t="inlineStr">
        <is>
          <t>YTM venda</t>
        </is>
      </c>
      <c r="C57" t="n">
        <v>0.1148</v>
      </c>
    </row>
    <row r="58">
      <c r="B58" t="inlineStr">
        <is>
          <t>Proximo cupom em</t>
        </is>
      </c>
      <c r="C58" s="17">
        <f>126-97</f>
        <v/>
      </c>
      <c r="E58" t="inlineStr">
        <is>
          <t>29 du</t>
        </is>
      </c>
    </row>
    <row r="59">
      <c r="B59" t="inlineStr">
        <is>
          <t>Preco venda</t>
        </is>
      </c>
      <c r="C59" s="11" t="n">
        <v>966.45</v>
      </c>
    </row>
    <row r="60">
      <c r="B60" t="inlineStr">
        <is>
          <t>Ganho R$</t>
        </is>
      </c>
      <c r="C60" s="11">
        <f>C59-C55</f>
        <v/>
      </c>
      <c r="E60" t="inlineStr">
        <is>
          <t>R$ 74,25</t>
        </is>
      </c>
    </row>
    <row r="61">
      <c r="B61" t="inlineStr">
        <is>
          <t>Ganho periodo</t>
        </is>
      </c>
      <c r="C61" s="7">
        <f>C60/C55</f>
        <v/>
      </c>
      <c r="E61" t="inlineStr">
        <is>
          <t>8,32%</t>
        </is>
      </c>
    </row>
    <row r="62">
      <c r="B62" t="inlineStr">
        <is>
          <t>Ganho a.a.</t>
        </is>
      </c>
      <c r="C62" s="7">
        <f>(1+C61)^(252/97)-1</f>
        <v/>
      </c>
      <c r="E62" t="inlineStr">
        <is>
          <t>~23,08% a.a.</t>
        </is>
      </c>
    </row>
    <row r="64">
      <c r="A64" s="3" t="inlineStr">
        <is>
          <t>Q8 — NTN-F YTM via 3 cupons restantes</t>
        </is>
      </c>
    </row>
    <row r="65">
      <c r="B65" t="inlineStr">
        <is>
          <t>Preco</t>
        </is>
      </c>
      <c r="C65" t="n">
        <v>956.14</v>
      </c>
    </row>
    <row r="66">
      <c r="B66" t="inlineStr">
        <is>
          <t>Fluxos: 48,81 em 100/226 du; 1048,81 em 352 du</t>
        </is>
      </c>
    </row>
    <row r="67">
      <c r="B67" t="inlineStr">
        <is>
          <t>YTM (Goal Seek)</t>
        </is>
      </c>
      <c r="C67" s="7" t="n">
        <v>0.146277</v>
      </c>
      <c r="E67" t="inlineStr">
        <is>
          <t>14,63% a.a.</t>
        </is>
      </c>
    </row>
  </sheetData>
  <mergeCells count="9">
    <mergeCell ref="A54:E54"/>
    <mergeCell ref="A64:E64"/>
    <mergeCell ref="A1:E1"/>
    <mergeCell ref="A36:E36"/>
    <mergeCell ref="A8:E8"/>
    <mergeCell ref="A44:E44"/>
    <mergeCell ref="A31:E31"/>
    <mergeCell ref="A18:E1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8" customWidth="1" min="4" max="4"/>
    <col width="55" customWidth="1" min="5" max="5"/>
  </cols>
  <sheetData>
    <row r="1">
      <c r="A1" s="1" t="inlineStr">
        <is>
          <t>LISTA 10 — TAXA DE CAMBIO + IRP + PPP</t>
        </is>
      </c>
    </row>
    <row r="3">
      <c r="A3" s="3" t="inlineStr">
        <is>
          <t>Q1 — VPL R$ de projeto com receitas em US$ (conversao de fluxos)</t>
        </is>
      </c>
    </row>
    <row r="4">
      <c r="B4" t="inlineStr">
        <is>
          <t>Investimento (R$)</t>
        </is>
      </c>
      <c r="C4" t="n">
        <v>-3000000</v>
      </c>
    </row>
    <row r="5">
      <c r="B5" t="inlineStr">
        <is>
          <t>Receita ano 1 (US$)</t>
        </is>
      </c>
      <c r="C5" t="n">
        <v>400000</v>
      </c>
      <c r="E5" t="inlineStr">
        <is>
          <t>cambio 4 -&gt; R$ 1.600.000</t>
        </is>
      </c>
    </row>
    <row r="6">
      <c r="B6" t="inlineStr">
        <is>
          <t>Receita ano 2 (US$)</t>
        </is>
      </c>
      <c r="C6" t="n">
        <v>500000</v>
      </c>
      <c r="E6" t="inlineStr">
        <is>
          <t>cambio 3 -&gt; R$ 1.500.000</t>
        </is>
      </c>
    </row>
    <row r="7">
      <c r="B7" t="inlineStr">
        <is>
          <t>Receita ano 3 (US$)</t>
        </is>
      </c>
      <c r="C7" t="n">
        <v>600000</v>
      </c>
      <c r="E7" t="inlineStr">
        <is>
          <t>cambio 2 -&gt; R$ 1.200.000</t>
        </is>
      </c>
    </row>
    <row r="8">
      <c r="B8" t="inlineStr">
        <is>
          <t>Taxa desconto</t>
        </is>
      </c>
      <c r="C8" t="n">
        <v>0.1</v>
      </c>
    </row>
    <row r="9">
      <c r="B9" t="inlineStr">
        <is>
          <t>VPL R$</t>
        </is>
      </c>
      <c r="C9" s="18">
        <f>-3000000 + 1600000/1.1 + 1500000/1.1^2 + 1200000/1.1^3</f>
        <v/>
      </c>
      <c r="E9" t="inlineStr">
        <is>
          <t>R$ 595.793. Logica: converte CF pro R$ na data, depois desconta na taxa BR</t>
        </is>
      </c>
    </row>
    <row r="11">
      <c r="A11" s="3" t="inlineStr">
        <is>
          <t>Q2 — TIR em USD e R$ (desvaloriz 8%/ano)</t>
        </is>
      </c>
    </row>
    <row r="12">
      <c r="B12" t="inlineStr">
        <is>
          <t>Cambio 0</t>
        </is>
      </c>
      <c r="C12" t="n">
        <v>1</v>
      </c>
    </row>
    <row r="13">
      <c r="B13" t="inlineStr">
        <is>
          <t>CF US$: -100k / 30k / 40k / 50k</t>
        </is>
      </c>
    </row>
    <row r="14">
      <c r="B14" t="inlineStr">
        <is>
          <t>TIR US$</t>
        </is>
      </c>
      <c r="C14" s="16">
        <f>IRR({-100000,30000,40000,50000})</f>
        <v/>
      </c>
      <c r="E14" t="inlineStr">
        <is>
          <t>~8,90%</t>
        </is>
      </c>
    </row>
    <row r="15">
      <c r="B15" t="inlineStr">
        <is>
          <t>TIR R$ (com cambios 1.08/1.1664/1.2597)</t>
        </is>
      </c>
      <c r="C15" s="16">
        <f>IRR({-100000,32400,46656,62985.6})</f>
        <v/>
      </c>
      <c r="E15" t="inlineStr">
        <is>
          <t>~17,61%. Relacao: (1+TIR_R$) = (1+TIR_US$)(1+desv)</t>
        </is>
      </c>
    </row>
    <row r="17">
      <c r="A17" s="3" t="inlineStr">
        <is>
          <t>Q3 — Conversao R$/US$ ida e volta</t>
        </is>
      </c>
    </row>
    <row r="18">
      <c r="B18" t="inlineStr">
        <is>
          <t>Investimento (R$)</t>
        </is>
      </c>
      <c r="C18" t="n">
        <v>500000</v>
      </c>
    </row>
    <row r="19">
      <c r="B19" t="inlineStr">
        <is>
          <t>Cambio hoje</t>
        </is>
      </c>
      <c r="C19" t="n">
        <v>5</v>
      </c>
    </row>
    <row r="20">
      <c r="B20" t="inlineStr">
        <is>
          <t>USD investidos</t>
        </is>
      </c>
      <c r="C20" s="19">
        <f>C18/C19</f>
        <v/>
      </c>
    </row>
    <row r="21">
      <c r="B21" t="inlineStr">
        <is>
          <t>Retorno US$ (5%)</t>
        </is>
      </c>
      <c r="C21" t="n">
        <v>0.05</v>
      </c>
    </row>
    <row r="22">
      <c r="B22" t="inlineStr">
        <is>
          <t>USD final</t>
        </is>
      </c>
      <c r="C22" s="19">
        <f>C20*(1+C21)</f>
        <v/>
      </c>
    </row>
    <row r="23">
      <c r="B23" t="inlineStr">
        <is>
          <t>Desvaloriz R$ (10%)</t>
        </is>
      </c>
      <c r="C23" t="n">
        <v>0.1</v>
      </c>
    </row>
    <row r="24">
      <c r="B24" t="inlineStr">
        <is>
          <t>Cambio 1 ano</t>
        </is>
      </c>
      <c r="C24" s="20">
        <f>5*(1+C23)</f>
        <v/>
      </c>
    </row>
    <row r="25">
      <c r="B25" t="inlineStr">
        <is>
          <t>Valor final R$</t>
        </is>
      </c>
      <c r="C25" s="11">
        <f>C22*C24</f>
        <v/>
      </c>
      <c r="E25" t="inlineStr">
        <is>
          <t>R$ 577.500</t>
        </is>
      </c>
    </row>
    <row r="27">
      <c r="A27" s="3" t="inlineStr">
        <is>
          <t>Q5 — Emprestimo US$ a 4%, 2 anos</t>
        </is>
      </c>
    </row>
    <row r="28">
      <c r="B28" t="inlineStr">
        <is>
          <t>Emprestimo US$</t>
        </is>
      </c>
      <c r="C28" t="n">
        <v>200000</v>
      </c>
    </row>
    <row r="29">
      <c r="B29" t="inlineStr">
        <is>
          <t>Taxa a.a.</t>
        </is>
      </c>
      <c r="C29" t="n">
        <v>0.04</v>
      </c>
    </row>
    <row r="30">
      <c r="B30" t="inlineStr">
        <is>
          <t>Cambio</t>
        </is>
      </c>
      <c r="C30" t="n">
        <v>5</v>
      </c>
    </row>
    <row r="31">
      <c r="B31" t="inlineStr">
        <is>
          <t>Saldo US$</t>
        </is>
      </c>
      <c r="C31" s="19">
        <f>C28*(1+C29)^2</f>
        <v/>
      </c>
      <c r="E31" t="inlineStr">
        <is>
          <t>US$ 216.320</t>
        </is>
      </c>
    </row>
    <row r="32">
      <c r="B32" t="inlineStr">
        <is>
          <t>Valor R$</t>
        </is>
      </c>
      <c r="C32" s="11">
        <f>C31*C30</f>
        <v/>
      </c>
      <c r="E32" t="inlineStr">
        <is>
          <t>R$ 1.081.600</t>
        </is>
      </c>
    </row>
    <row r="34">
      <c r="A34" s="3" t="inlineStr">
        <is>
          <t>Q6 (IRP) — Taxa equivalente USD</t>
        </is>
      </c>
    </row>
    <row r="35">
      <c r="B35" t="inlineStr">
        <is>
          <t>Taxa BR (a.a.)</t>
        </is>
      </c>
      <c r="C35" t="n">
        <v>0.12</v>
      </c>
    </row>
    <row r="36">
      <c r="B36" t="inlineStr">
        <is>
          <t>Cambio hoje</t>
        </is>
      </c>
      <c r="C36" t="n">
        <v>5.5</v>
      </c>
    </row>
    <row r="37">
      <c r="B37" t="inlineStr">
        <is>
          <t>Cambio 1 ano</t>
        </is>
      </c>
      <c r="C37" t="n">
        <v>5</v>
      </c>
      <c r="E37" t="inlineStr">
        <is>
          <t>R$ valorizou</t>
        </is>
      </c>
    </row>
    <row r="38">
      <c r="B38" t="inlineStr">
        <is>
          <t>IRP: (1+r_BR)/(1+r_US) = F/S</t>
        </is>
      </c>
      <c r="E38" t="inlineStr">
        <is>
          <t>(1,12)/(1+r_US) = 5/5,5</t>
        </is>
      </c>
    </row>
    <row r="39">
      <c r="B39" t="inlineStr">
        <is>
          <t>r_US</t>
        </is>
      </c>
      <c r="C39" s="7">
        <f>(1+C35)*C36/C37-1</f>
        <v/>
      </c>
      <c r="E39" t="inlineStr">
        <is>
          <t>23,2% a.a. (USD ganha mais pq R$ valorizou)</t>
        </is>
      </c>
    </row>
    <row r="41">
      <c r="A41" s="3" t="inlineStr">
        <is>
          <t>Q7 (PPP) — Big Nhac</t>
        </is>
      </c>
    </row>
    <row r="42">
      <c r="B42" t="inlineStr">
        <is>
          <t>Preco BR (R$)</t>
        </is>
      </c>
      <c r="C42" t="n">
        <v>55</v>
      </c>
    </row>
    <row r="43">
      <c r="B43" t="inlineStr">
        <is>
          <t>Preco EUA (US$)</t>
        </is>
      </c>
      <c r="C43" t="n">
        <v>10</v>
      </c>
    </row>
    <row r="44">
      <c r="B44" t="inlineStr">
        <is>
          <t>Inflacao BR</t>
        </is>
      </c>
      <c r="C44" t="n">
        <v>0.06</v>
      </c>
    </row>
    <row r="45">
      <c r="B45" t="inlineStr">
        <is>
          <t>Inflacao EUA</t>
        </is>
      </c>
      <c r="C45" t="n">
        <v>0.02</v>
      </c>
    </row>
    <row r="46">
      <c r="B46" t="inlineStr">
        <is>
          <t>Preco BR daqui 1 ano</t>
        </is>
      </c>
      <c r="C46" s="11">
        <f>C42*(1+C44)</f>
        <v/>
      </c>
    </row>
    <row r="47">
      <c r="B47" t="inlineStr">
        <is>
          <t>Preco EUA daqui 1 ano</t>
        </is>
      </c>
      <c r="C47" s="19">
        <f>C43*(1+C45)</f>
        <v/>
      </c>
    </row>
    <row r="48">
      <c r="B48" t="inlineStr">
        <is>
          <t>Cambio implicito (PPP absoluta)</t>
        </is>
      </c>
      <c r="C48" s="9">
        <f>C46/C47</f>
        <v/>
      </c>
      <c r="E48" t="inlineStr">
        <is>
          <t>5,72. Equivale a: 5,5 × (1,06/1,02)</t>
        </is>
      </c>
    </row>
    <row r="50">
      <c r="A50" s="3" t="inlineStr">
        <is>
          <t>Q8 — Emprestimo US$ com R$ desvalorizando</t>
        </is>
      </c>
    </row>
    <row r="51">
      <c r="B51" t="inlineStr">
        <is>
          <t>Emprestimo US$</t>
        </is>
      </c>
      <c r="C51" t="n">
        <v>500000</v>
      </c>
    </row>
    <row r="52">
      <c r="B52" t="inlineStr">
        <is>
          <t>Taxa US$ a.a.</t>
        </is>
      </c>
      <c r="C52" t="n">
        <v>0.03</v>
      </c>
    </row>
    <row r="53">
      <c r="B53" t="inlineStr">
        <is>
          <t>Desvaloriz R$</t>
        </is>
      </c>
      <c r="C53" t="n">
        <v>0.1</v>
      </c>
    </row>
    <row r="54">
      <c r="B54" t="inlineStr">
        <is>
          <t>Cambio hoje</t>
        </is>
      </c>
      <c r="C54" t="n">
        <v>2</v>
      </c>
    </row>
    <row r="55">
      <c r="B55" t="inlineStr">
        <is>
          <t>Saldo R$ hoje</t>
        </is>
      </c>
      <c r="C55" s="18">
        <f>C51*C54</f>
        <v/>
      </c>
    </row>
    <row r="56">
      <c r="B56" t="inlineStr">
        <is>
          <t>Saldo US$ apos 1 ano</t>
        </is>
      </c>
      <c r="C56" s="21">
        <f>C51*(1+C52)</f>
        <v/>
      </c>
    </row>
    <row r="57">
      <c r="B57" t="inlineStr">
        <is>
          <t>Cambio em 1 ano</t>
        </is>
      </c>
      <c r="C57" s="20">
        <f>C54*(1+C53)</f>
        <v/>
      </c>
    </row>
    <row r="58">
      <c r="B58" t="inlineStr">
        <is>
          <t>Saldo R$ em 1 ano</t>
        </is>
      </c>
      <c r="C58" s="18">
        <f>C56*C57</f>
        <v/>
      </c>
    </row>
    <row r="59">
      <c r="B59" t="inlineStr">
        <is>
          <t>Juros efetivo R$</t>
        </is>
      </c>
      <c r="C59" s="18">
        <f>C58-C54</f>
        <v/>
      </c>
      <c r="E59" t="inlineStr">
        <is>
          <t>R$ 133.000. Custo = (1+3%)(1+10%) - 1 = 13,3%</t>
        </is>
      </c>
    </row>
    <row r="61">
      <c r="A61" s="3" t="inlineStr">
        <is>
          <t>Q9 — VPL R$ projeto nos EUA + TIR USD</t>
        </is>
      </c>
    </row>
    <row r="62">
      <c r="B62" t="inlineStr">
        <is>
          <t>Investimento R$ 1M, fluxos US$ 200k x 5 anos</t>
        </is>
      </c>
      <c r="E62" t="inlineStr">
        <is>
          <t>cambio 1,20; desvaloriz 3%</t>
        </is>
      </c>
    </row>
    <row r="63">
      <c r="B63" t="inlineStr">
        <is>
          <t>Cambio ano 5</t>
        </is>
      </c>
      <c r="C63" s="22">
        <f>1.2*1.03^5</f>
        <v/>
      </c>
    </row>
    <row r="64">
      <c r="B64" t="inlineStr">
        <is>
          <t>VPL R$ (custo cap 12%)</t>
        </is>
      </c>
      <c r="C64" s="18" t="n">
        <v>-60100</v>
      </c>
      <c r="E64" t="inlineStr">
        <is>
          <t>-R$ 60.099 (nao viavel)</t>
        </is>
      </c>
    </row>
    <row r="65">
      <c r="B65" t="inlineStr">
        <is>
          <t>TIR US$</t>
        </is>
      </c>
      <c r="C65" s="16" t="n">
        <v>0.064</v>
      </c>
      <c r="E65" t="inlineStr">
        <is>
          <t>6,40%</t>
        </is>
      </c>
    </row>
    <row r="67">
      <c r="A67" s="3" t="inlineStr">
        <is>
          <t>Q11 — Projeto BR visto por investidor EUA, TIR USD</t>
        </is>
      </c>
    </row>
    <row r="68">
      <c r="B68" t="inlineStr">
        <is>
          <t>US$ 50.000 inicial, R$ 15.000 x 4 anos</t>
        </is>
      </c>
      <c r="E68" t="inlineStr">
        <is>
          <t>cambio 5,00; sobe 3%/ano</t>
        </is>
      </c>
    </row>
    <row r="69">
      <c r="B69" t="inlineStr">
        <is>
          <t>Fluxo US$ ano 1 (15k/5,15)</t>
        </is>
      </c>
      <c r="C69" s="19">
        <f>15000/5.15</f>
        <v/>
      </c>
    </row>
    <row r="70">
      <c r="B70" t="inlineStr">
        <is>
          <t>TIR US$</t>
        </is>
      </c>
      <c r="C70" s="16" t="n">
        <v>-0.416</v>
      </c>
      <c r="E70" t="inlineStr">
        <is>
          <t>-41,6% (US$ recebido por ano muito baixo)</t>
        </is>
      </c>
    </row>
  </sheetData>
  <mergeCells count="10">
    <mergeCell ref="A34:E34"/>
    <mergeCell ref="A50:E50"/>
    <mergeCell ref="A27:E27"/>
    <mergeCell ref="A41:E41"/>
    <mergeCell ref="A11:E11"/>
    <mergeCell ref="A1:E1"/>
    <mergeCell ref="A61:E61"/>
    <mergeCell ref="A17:E17"/>
    <mergeCell ref="A67:E6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8" customWidth="1" min="4" max="4"/>
    <col width="55" customWidth="1" min="5" max="5"/>
  </cols>
  <sheetData>
    <row r="1">
      <c r="A1" s="1" t="inlineStr">
        <is>
          <t>QUIZ DA TURMA ANTERIOR — ARMADILHAS DO BANCO DO PROFESSOR</t>
        </is>
      </c>
    </row>
    <row r="3">
      <c r="A3" s="3" t="inlineStr">
        <is>
          <t>Q1 (direta): NTN-F preco com YTM 15,18% / 734 du</t>
        </is>
      </c>
    </row>
    <row r="4">
      <c r="B4" t="inlineStr">
        <is>
          <t>YTM</t>
        </is>
      </c>
      <c r="C4" t="n">
        <v>0.1518</v>
      </c>
    </row>
    <row r="5">
      <c r="B5" t="inlineStr">
        <is>
          <t>Cupons em 104, 230, 356, 482, 608, 734 du</t>
        </is>
      </c>
    </row>
    <row r="6">
      <c r="B6" t="inlineStr">
        <is>
          <t>VP c1 (104 du)</t>
        </is>
      </c>
      <c r="C6" s="11">
        <f>48.81/(1+0.1518)^(104/252)</f>
        <v/>
      </c>
    </row>
    <row r="7">
      <c r="B7" t="inlineStr">
        <is>
          <t>VP c2 (230 du)</t>
        </is>
      </c>
      <c r="C7" s="11">
        <f>48.81/(1+0.1518)^(230/252)</f>
        <v/>
      </c>
    </row>
    <row r="8">
      <c r="B8" t="inlineStr">
        <is>
          <t>VP c3 (356 du)</t>
        </is>
      </c>
      <c r="C8" s="11">
        <f>48.81/(1+0.1518)^(356/252)</f>
        <v/>
      </c>
    </row>
    <row r="9">
      <c r="B9" t="inlineStr">
        <is>
          <t>VP c4 (482 du)</t>
        </is>
      </c>
      <c r="C9" s="11">
        <f>48.81/(1+0.1518)^(482/252)</f>
        <v/>
      </c>
    </row>
    <row r="10">
      <c r="B10" t="inlineStr">
        <is>
          <t>VP c5 (608 du)</t>
        </is>
      </c>
      <c r="C10" s="11">
        <f>48.81/(1+0.1518)^(608/252)</f>
        <v/>
      </c>
    </row>
    <row r="11">
      <c r="B11" t="inlineStr">
        <is>
          <t>VP c6+VF (734 du)</t>
        </is>
      </c>
      <c r="C11" s="11">
        <f>1048.81/(1+0.1518)^(734/252)</f>
        <v/>
      </c>
    </row>
    <row r="12">
      <c r="B12" t="inlineStr">
        <is>
          <t>Preco (soma VPs)</t>
        </is>
      </c>
      <c r="C12" s="11">
        <f>SUM(C6:C11)</f>
        <v/>
      </c>
      <c r="E12" t="inlineStr">
        <is>
          <t>R$ 895,78</t>
        </is>
      </c>
    </row>
    <row r="14">
      <c r="A14" s="3" t="inlineStr">
        <is>
          <t>Q2 (direta): CDI 10,24% a.a. -&gt; mensal</t>
        </is>
      </c>
    </row>
    <row r="15">
      <c r="B15" t="inlineStr">
        <is>
          <t>CDI a.a.</t>
        </is>
      </c>
      <c r="C15" t="n">
        <v>0.1024</v>
      </c>
    </row>
    <row r="16">
      <c r="B16" t="inlineStr">
        <is>
          <t>Taxa mensal</t>
        </is>
      </c>
      <c r="C16" s="16">
        <f>(1+C15)^(21/252)-1</f>
        <v/>
      </c>
      <c r="E16" t="inlineStr">
        <is>
          <t>0,82%</t>
        </is>
      </c>
    </row>
    <row r="18">
      <c r="A18" s="3" t="inlineStr">
        <is>
          <t>Q3 (armadilha): CDB 238% CDI, 2 sub-periodos. R: 8,12%</t>
        </is>
      </c>
    </row>
    <row r="19">
      <c r="B19" t="inlineStr">
        <is>
          <t>% do CDI</t>
        </is>
      </c>
      <c r="C19" t="n">
        <v>2.38</v>
      </c>
    </row>
    <row r="20">
      <c r="B20" t="inlineStr">
        <is>
          <t>DI 1 (27 du)</t>
        </is>
      </c>
      <c r="C20" t="n">
        <v>0.1987</v>
      </c>
    </row>
    <row r="21">
      <c r="B21" t="inlineStr">
        <is>
          <t>DI 2 (21 du)</t>
        </is>
      </c>
      <c r="C21" t="n">
        <v>0.1745</v>
      </c>
    </row>
    <row r="22">
      <c r="B22" t="inlineStr">
        <is>
          <t>i_DI_d 1</t>
        </is>
      </c>
      <c r="C22" s="15">
        <f>(1+C20)^(1/252)-1</f>
        <v/>
      </c>
    </row>
    <row r="23">
      <c r="B23" t="inlineStr">
        <is>
          <t>i_DI_d 2</t>
        </is>
      </c>
      <c r="C23" s="15">
        <f>(1+C21)^(1/252)-1</f>
        <v/>
      </c>
    </row>
    <row r="24">
      <c r="B24" t="inlineStr">
        <is>
          <t>i_CDB_d 1 (238% x i_DI)</t>
        </is>
      </c>
      <c r="C24" s="15">
        <f>C19*C22</f>
        <v/>
      </c>
    </row>
    <row r="25">
      <c r="B25" t="inlineStr">
        <is>
          <t>i_CDB_d 2</t>
        </is>
      </c>
      <c r="C25" s="15">
        <f>C19*C23</f>
        <v/>
      </c>
    </row>
    <row r="26">
      <c r="B26" t="inlineStr">
        <is>
          <t>Fator P1 ((1+iCDBd1)^27)</t>
        </is>
      </c>
      <c r="C26" s="23">
        <f>(1+C24)^27</f>
        <v/>
      </c>
    </row>
    <row r="27">
      <c r="B27" t="inlineStr">
        <is>
          <t>Fator P2 ((1+iCDBd2)^21)</t>
        </is>
      </c>
      <c r="C27" s="23">
        <f>(1+C25)^21</f>
        <v/>
      </c>
    </row>
    <row r="28">
      <c r="B28" t="inlineStr">
        <is>
          <t>TAXA TOTAL = F1×F2 - 1</t>
        </is>
      </c>
      <c r="C28" s="16">
        <f>C26*C27-1</f>
        <v/>
      </c>
      <c r="E28" t="inlineStr">
        <is>
          <t>8,12%</t>
        </is>
      </c>
    </row>
    <row r="29">
      <c r="B29" s="5" t="inlineStr">
        <is>
          <t>ARMADILHA: aplicar % no fator (1+CDI), nao na taxa diaria</t>
        </is>
      </c>
    </row>
    <row r="31">
      <c r="A31" s="3" t="inlineStr">
        <is>
          <t>Q4 (armadilha): LTN 9,78% / 245 du. R: 913,28</t>
        </is>
      </c>
    </row>
    <row r="32">
      <c r="B32" t="inlineStr">
        <is>
          <t>YTM</t>
        </is>
      </c>
      <c r="C32" t="n">
        <v>0.0978</v>
      </c>
    </row>
    <row r="33">
      <c r="B33" t="inlineStr">
        <is>
          <t>du</t>
        </is>
      </c>
      <c r="C33" t="n">
        <v>245</v>
      </c>
    </row>
    <row r="34">
      <c r="B34" t="inlineStr">
        <is>
          <t>Preco = 1000/(1+0,0978)^(245/252)</t>
        </is>
      </c>
      <c r="C34" s="11">
        <f>1000/(1+C32)^(C33/252)</f>
        <v/>
      </c>
      <c r="E34" t="inlineStr">
        <is>
          <t>R$ 913,28</t>
        </is>
      </c>
    </row>
    <row r="36">
      <c r="A36" s="3" t="inlineStr">
        <is>
          <t>Q4 antigo (armadilha): LTN P=870,56 / 126 du -&gt; YTM. R: 31,95%</t>
        </is>
      </c>
    </row>
    <row r="37">
      <c r="B37" t="inlineStr">
        <is>
          <t>Preco</t>
        </is>
      </c>
      <c r="C37" t="n">
        <v>870.5599999999999</v>
      </c>
    </row>
    <row r="38">
      <c r="B38" t="inlineStr">
        <is>
          <t>du</t>
        </is>
      </c>
      <c r="C38" t="n">
        <v>126</v>
      </c>
    </row>
    <row r="39">
      <c r="B39" t="inlineStr">
        <is>
          <t>YTM = (1000/P)^(252/du)-1</t>
        </is>
      </c>
      <c r="C39" s="16">
        <f>(1000/C37)^(252/C38)-1</f>
        <v/>
      </c>
      <c r="E39" t="inlineStr">
        <is>
          <t>31,95%</t>
        </is>
      </c>
    </row>
    <row r="41">
      <c r="A41" s="3" t="inlineStr">
        <is>
          <t>Q5 (armadilha): LTN venda intermediaria. R: 0,36%</t>
        </is>
      </c>
    </row>
    <row r="42">
      <c r="B42" t="inlineStr">
        <is>
          <t>YTM compra</t>
        </is>
      </c>
      <c r="C42" t="n">
        <v>0.0963</v>
      </c>
    </row>
    <row r="43">
      <c r="B43" t="inlineStr">
        <is>
          <t>du compra</t>
        </is>
      </c>
      <c r="C43" t="n">
        <v>187</v>
      </c>
    </row>
    <row r="44">
      <c r="B44" t="inlineStr">
        <is>
          <t>Tempo passou</t>
        </is>
      </c>
      <c r="C44" t="n">
        <v>26</v>
      </c>
    </row>
    <row r="45">
      <c r="B45" t="inlineStr">
        <is>
          <t>YTM venda</t>
        </is>
      </c>
      <c r="C45" t="n">
        <v>0.1064</v>
      </c>
    </row>
    <row r="46">
      <c r="B46" t="inlineStr">
        <is>
          <t>du restantes</t>
        </is>
      </c>
      <c r="C46" s="17">
        <f>C43-C44</f>
        <v/>
      </c>
    </row>
    <row r="47">
      <c r="B47" t="inlineStr">
        <is>
          <t>P_compra</t>
        </is>
      </c>
      <c r="C47" s="11">
        <f>1000/(1+C42)^(C43/252)</f>
        <v/>
      </c>
      <c r="E47" t="inlineStr">
        <is>
          <t>R$ 934,05</t>
        </is>
      </c>
    </row>
    <row r="48">
      <c r="B48" t="inlineStr">
        <is>
          <t>P_venda</t>
        </is>
      </c>
      <c r="C48" s="11">
        <f>1000/(1+C45)^(C46/252)</f>
        <v/>
      </c>
      <c r="E48" t="inlineStr">
        <is>
          <t>R$ 937,47</t>
        </is>
      </c>
    </row>
    <row r="49">
      <c r="B49" t="inlineStr">
        <is>
          <t>Retorno periodo</t>
        </is>
      </c>
      <c r="C49" s="16">
        <f>C48/C47-1</f>
        <v/>
      </c>
      <c r="E49" t="inlineStr">
        <is>
          <t>0,36% (YTM SUBIU, preco subiu menos)</t>
        </is>
      </c>
    </row>
    <row r="51">
      <c r="A51" s="3" t="inlineStr">
        <is>
          <t>Q6 (direta): NTN-F cupom semestral</t>
        </is>
      </c>
    </row>
    <row r="52">
      <c r="B52" t="inlineStr">
        <is>
          <t>i cupom a.a.</t>
        </is>
      </c>
      <c r="C52" t="n">
        <v>0.1</v>
      </c>
    </row>
    <row r="53">
      <c r="B53" t="inlineStr">
        <is>
          <t>Cupom semestral = (1,1)^0,5 - 1</t>
        </is>
      </c>
      <c r="C53" s="16">
        <f>(1+C52)^0.5-1</f>
        <v/>
      </c>
      <c r="E53" t="inlineStr">
        <is>
          <t>4,88%</t>
        </is>
      </c>
    </row>
    <row r="55">
      <c r="A55" s="3" t="inlineStr">
        <is>
          <t>Q7 (direta): CDB 127% DI, 106 du, DI 9,52%</t>
        </is>
      </c>
    </row>
    <row r="56">
      <c r="B56" t="inlineStr">
        <is>
          <t>% DI</t>
        </is>
      </c>
      <c r="C56" t="n">
        <v>1.27</v>
      </c>
    </row>
    <row r="57">
      <c r="B57" t="inlineStr">
        <is>
          <t>DI a.a.</t>
        </is>
      </c>
      <c r="C57" t="n">
        <v>0.09520000000000001</v>
      </c>
    </row>
    <row r="58">
      <c r="B58" t="inlineStr">
        <is>
          <t>du</t>
        </is>
      </c>
      <c r="C58" t="n">
        <v>106</v>
      </c>
    </row>
    <row r="59">
      <c r="B59" t="inlineStr">
        <is>
          <t>i_DI_d</t>
        </is>
      </c>
      <c r="C59" s="14">
        <f>(1+C57)^(1/252)-1</f>
        <v/>
      </c>
    </row>
    <row r="60">
      <c r="B60" t="inlineStr">
        <is>
          <t>i_CDB_d</t>
        </is>
      </c>
      <c r="C60" s="14">
        <f>C56*C59</f>
        <v/>
      </c>
    </row>
    <row r="61">
      <c r="B61" t="inlineStr">
        <is>
          <t>Retorno total</t>
        </is>
      </c>
      <c r="C61" s="16">
        <f>(1+C60)^C58-1</f>
        <v/>
      </c>
      <c r="E61" t="inlineStr">
        <is>
          <t>4,98%</t>
        </is>
      </c>
    </row>
    <row r="63">
      <c r="A63" s="3" t="inlineStr">
        <is>
          <t>Q9 (armadilha) — PPP BRL/EUR. R: 4,56</t>
        </is>
      </c>
    </row>
    <row r="64">
      <c r="B64" t="inlineStr">
        <is>
          <t>S_2022 (BRL/EUR)</t>
        </is>
      </c>
      <c r="C64" t="n">
        <v>4.43</v>
      </c>
    </row>
    <row r="65">
      <c r="B65" t="inlineStr">
        <is>
          <t>π BR</t>
        </is>
      </c>
      <c r="C65" t="n">
        <v>0.0974</v>
      </c>
    </row>
    <row r="66">
      <c r="B66" t="inlineStr">
        <is>
          <t>π EUR</t>
        </is>
      </c>
      <c r="C66" t="n">
        <v>0.06619999999999999</v>
      </c>
    </row>
    <row r="67">
      <c r="B67" t="inlineStr">
        <is>
          <t>S_2023 = S × (1+πBR)/(1+πEUR)</t>
        </is>
      </c>
      <c r="C67" s="20">
        <f>C64*(1+C65)/(1+C66)</f>
        <v/>
      </c>
      <c r="E67" t="inlineStr">
        <is>
          <t>4,56. Inflacao BR maior -&gt; BRL deprecia -&gt; mais BRL por EUR</t>
        </is>
      </c>
    </row>
    <row r="69">
      <c r="A69" s="3" t="inlineStr">
        <is>
          <t>Q10 (armadilha) — IRP forward JPY/USD. R: 124,85</t>
        </is>
      </c>
    </row>
    <row r="70">
      <c r="B70" t="inlineStr">
        <is>
          <t>Spot JPY/USD</t>
        </is>
      </c>
      <c r="C70" t="n">
        <v>128.77</v>
      </c>
    </row>
    <row r="71">
      <c r="B71" t="inlineStr">
        <is>
          <t>i_USD</t>
        </is>
      </c>
      <c r="C71" t="n">
        <v>0.0508</v>
      </c>
    </row>
    <row r="72">
      <c r="B72" t="inlineStr">
        <is>
          <t>i_JPY</t>
        </is>
      </c>
      <c r="C72" t="n">
        <v>0.0188</v>
      </c>
    </row>
    <row r="73">
      <c r="B73" t="inlineStr">
        <is>
          <t>F = S × (1+i_JPY)/(1+i_USD)</t>
        </is>
      </c>
      <c r="C73" s="20">
        <f>C70*(1+C72)/(1+C71)</f>
        <v/>
      </c>
      <c r="E73" t="inlineStr">
        <is>
          <t>124,85. JPY no quote (numerador)</t>
        </is>
      </c>
    </row>
    <row r="75">
      <c r="A75" s="3" t="inlineStr">
        <is>
          <t>Q14 (armadilha pesada): IR LTN venda intermediaria. R: R$ 6,00</t>
        </is>
      </c>
    </row>
    <row r="76">
      <c r="B76" t="inlineStr">
        <is>
          <t>YTM compra</t>
        </is>
      </c>
      <c r="C76" t="n">
        <v>0.1276</v>
      </c>
    </row>
    <row r="77">
      <c r="B77" t="inlineStr">
        <is>
          <t>du original</t>
        </is>
      </c>
      <c r="C77" t="n">
        <v>193</v>
      </c>
    </row>
    <row r="78">
      <c r="B78" t="inlineStr">
        <is>
          <t>Tempo decorrido</t>
        </is>
      </c>
      <c r="C78" t="n">
        <v>65</v>
      </c>
    </row>
    <row r="79">
      <c r="B79" t="inlineStr">
        <is>
          <t>YTM venda</t>
        </is>
      </c>
      <c r="C79" t="n">
        <v>0.1324</v>
      </c>
    </row>
    <row r="80">
      <c r="B80" t="inlineStr">
        <is>
          <t>du restantes</t>
        </is>
      </c>
      <c r="C80" s="17">
        <f>C77-C78</f>
        <v/>
      </c>
    </row>
    <row r="81">
      <c r="B81" t="inlineStr">
        <is>
          <t>P_compra</t>
        </is>
      </c>
      <c r="C81" s="11">
        <f>1000/(1+C76)^(C77/252)</f>
        <v/>
      </c>
    </row>
    <row r="82">
      <c r="B82" t="inlineStr">
        <is>
          <t>P_venda</t>
        </is>
      </c>
      <c r="C82" s="11">
        <f>1000/(1+C79)^(C80/252)</f>
        <v/>
      </c>
    </row>
    <row r="83">
      <c r="B83" t="inlineStr">
        <is>
          <t>Ganho</t>
        </is>
      </c>
      <c r="C83" s="11">
        <f>C82-C81</f>
        <v/>
      </c>
    </row>
    <row r="84">
      <c r="B84" t="inlineStr">
        <is>
          <t>Aliquota IR (22,5%)</t>
        </is>
      </c>
      <c r="C84" t="n">
        <v>0.225</v>
      </c>
    </row>
    <row r="85">
      <c r="B85" t="inlineStr">
        <is>
          <t>IR pago</t>
        </is>
      </c>
      <c r="C85" s="11">
        <f>C83*C84</f>
        <v/>
      </c>
      <c r="E85" t="inlineStr">
        <is>
          <t>R$ 6,00. IR sobre o GANHO, nao sobre o total</t>
        </is>
      </c>
    </row>
  </sheetData>
  <mergeCells count="12">
    <mergeCell ref="A55:E55"/>
    <mergeCell ref="A69:E69"/>
    <mergeCell ref="A41:E41"/>
    <mergeCell ref="A63:E63"/>
    <mergeCell ref="A51:E51"/>
    <mergeCell ref="A1:E1"/>
    <mergeCell ref="A75:E75"/>
    <mergeCell ref="A36:E36"/>
    <mergeCell ref="A14:E14"/>
    <mergeCell ref="A31:E3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2026-05-19T03:27:28Z</dcterms:created>
  <dcterms:modified xmlns:dcterms="http://purl.org/dc/terms/" xmlns:xsi="http://www.w3.org/2001/XMLSchema-instance" xsi:type="dcterms:W3CDTF">2026-05-19T03:30:32Z</dcterms:modified>
</cp:coreProperties>
</file>