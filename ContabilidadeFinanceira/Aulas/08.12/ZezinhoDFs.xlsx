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DRE" sheetId="2" state="visible" r:id="rId4"/>
    <sheet name="DFC" sheetId="3" state="visible" r:id="rId5"/>
    <sheet name="B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8" authorId="0">
      <text>
        <r>
          <rPr>
            <sz val="10"/>
            <rFont val="Arial"/>
            <family val="2"/>
          </rPr>
          <t xml:space="preserve">Nao havia funcionario na fase diaria.</t>
        </r>
      </text>
    </comment>
    <comment ref="C13" authorId="0">
      <text>
        <r>
          <rPr>
            <sz val="10"/>
            <rFont val="Arial"/>
            <family val="2"/>
          </rPr>
          <t xml:space="preserve">450 no inicio + 250 no fim do mes.</t>
        </r>
      </text>
    </comment>
    <comment ref="D12" authorId="0">
      <text>
        <r>
          <rPr>
            <sz val="10"/>
            <rFont val="Arial"/>
            <family val="2"/>
          </rPr>
          <t xml:space="preserve">Metade a vista, metade no cartao de credito recebido em M3.</t>
        </r>
      </text>
    </comment>
    <comment ref="E11" authorId="0">
      <text>
        <r>
          <rPr>
            <sz val="10"/>
            <rFont val="Arial"/>
            <family val="2"/>
          </rPr>
          <t xml:space="preserve">Preencher com o enunciado de M3.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3" authorId="0">
      <text>
        <r>
          <rPr>
            <sz val="10"/>
            <rFont val="Arial"/>
            <family val="2"/>
          </rPr>
          <t xml:space="preserve">Fase diaria nao deixou recebiveis, entao M1 recebe so as proprias vendas a vista.</t>
        </r>
      </text>
    </comment>
    <comment ref="B4" authorId="0">
      <text>
        <r>
          <rPr>
            <sz val="10"/>
            <rFont val="Arial"/>
            <family val="2"/>
          </rPr>
          <t xml:space="preserve">Na virada para a fase mensal nao havia contas da fase diaria.</t>
        </r>
      </text>
    </comment>
    <comment ref="B11" authorId="0">
      <text>
        <r>
          <rPr>
            <sz val="10"/>
            <rFont val="Arial"/>
            <family val="2"/>
          </rPr>
          <t xml:space="preserve">Fase mensal abre com caixa zero (Zezinho nao investiu nada).</t>
        </r>
      </text>
    </comment>
    <comment ref="C3" authorId="0">
      <text>
        <r>
          <rPr>
            <sz val="10"/>
            <rFont val="Arial"/>
            <family val="2"/>
          </rPr>
          <t xml:space="preserve">Vendas a vista de M2 + cartao de M1 (zero, M1 foi 100% a vista).</t>
        </r>
      </text>
    </comment>
    <comment ref="D7" authorId="0">
      <text>
        <r>
          <rPr>
            <sz val="10"/>
            <rFont val="Arial"/>
            <family val="2"/>
          </rPr>
          <t xml:space="preserve">Gabarito do quiz; detalhamento depende do enunciado de M3.</t>
        </r>
      </text>
    </comment>
    <comment ref="D9" authorId="0">
      <text>
        <r>
          <rPr>
            <sz val="10"/>
            <rFont val="Arial"/>
            <family val="2"/>
          </rPr>
          <t xml:space="preserve">Politica de 100% do lucro (gabarito 1.590) paga no mes.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16" authorId="0">
      <text>
        <r>
          <rPr>
            <sz val="10"/>
            <rFont val="Arial"/>
            <family val="2"/>
          </rPr>
          <t xml:space="preserve">Zezinho nao investiu dinheiro no negocio.</t>
        </r>
      </text>
    </comment>
    <comment ref="B17" authorId="0">
      <text>
        <r>
          <rPr>
            <sz val="10"/>
            <rFont val="Arial"/>
            <family val="2"/>
          </rPr>
          <t xml:space="preserve">Lucro do mes menos dividendo distribuido (100%).</t>
        </r>
      </text>
    </comment>
    <comment ref="C6" authorId="0">
      <text>
        <r>
          <rPr>
            <sz val="10"/>
            <rFont val="Arial"/>
            <family val="2"/>
          </rPr>
          <t xml:space="preserve">Estoque anterior + compras - consumo.</t>
        </r>
      </text>
    </comment>
  </commentList>
</comments>
</file>

<file path=xl/sharedStrings.xml><?xml version="1.0" encoding="utf-8"?>
<sst xmlns="http://schemas.openxmlformats.org/spreadsheetml/2006/main" count="77" uniqueCount="72">
  <si>
    <t xml:space="preserve">CASO PIPOCA DO ZEZINHO: demonstracoes financeiras</t>
  </si>
  <si>
    <t xml:space="preserve">Valores em $. Legenda:</t>
  </si>
  <si>
    <t xml:space="preserve">azul = input do caso</t>
  </si>
  <si>
    <t xml:space="preserve">preto = formula</t>
  </si>
  <si>
    <t xml:space="preserve">verde = link entre abas</t>
  </si>
  <si>
    <t xml:space="preserve">amarelo = preencher (enunciado M3)</t>
  </si>
  <si>
    <t xml:space="preserve">Dia 1 (fase aposentado)</t>
  </si>
  <si>
    <t xml:space="preserve">Vendas do dia</t>
  </si>
  <si>
    <t xml:space="preserve">Ingredientes consumidos</t>
  </si>
  <si>
    <t xml:space="preserve">Aluguel do carrinho (diario)</t>
  </si>
  <si>
    <t xml:space="preserve">Salario</t>
  </si>
  <si>
    <t xml:space="preserve">Meses (fase com funcionario)</t>
  </si>
  <si>
    <t xml:space="preserve">M1</t>
  </si>
  <si>
    <t xml:space="preserve">M2</t>
  </si>
  <si>
    <t xml:space="preserve">M3</t>
  </si>
  <si>
    <t xml:space="preserve">Vendas do mes</t>
  </si>
  <si>
    <t xml:space="preserve">% recebido a vista</t>
  </si>
  <si>
    <t xml:space="preserve">Compras de ingredientes</t>
  </si>
  <si>
    <t xml:space="preserve">Ingredientes consumidos (CMV)</t>
  </si>
  <si>
    <t xml:space="preserve">Salario do mes</t>
  </si>
  <si>
    <t xml:space="preserve">Aluguel do mes</t>
  </si>
  <si>
    <t xml:space="preserve">Prazos de pagamento e recebimento</t>
  </si>
  <si>
    <t xml:space="preserve">Salario: pago dia 05 do mes seguinte</t>
  </si>
  <si>
    <t xml:space="preserve">Supermercado: pago dia 15 do mes seguinte</t>
  </si>
  <si>
    <t xml:space="preserve">Aluguel: pago dia 01 do mes seguinte</t>
  </si>
  <si>
    <t xml:space="preserve">Cartao de credito: recebido no mes seguinte</t>
  </si>
  <si>
    <t xml:space="preserve">Dividendos: 100% do lucro, pagos dentro do proprio mes</t>
  </si>
  <si>
    <t xml:space="preserve">Gabarito do quiz (Tema 4)</t>
  </si>
  <si>
    <t xml:space="preserve">Lucro (quiz)</t>
  </si>
  <si>
    <t xml:space="preserve">Caixa das operacoes (quiz)</t>
  </si>
  <si>
    <t xml:space="preserve">DRE (regime de competencia)</t>
  </si>
  <si>
    <t xml:space="preserve">Dia 1</t>
  </si>
  <si>
    <t xml:space="preserve">Receita de vendas</t>
  </si>
  <si>
    <t xml:space="preserve">(-) CMV (ingredientes consumidos)</t>
  </si>
  <si>
    <t xml:space="preserve">Lucro bruto</t>
  </si>
  <si>
    <t xml:space="preserve">(-) Salario</t>
  </si>
  <si>
    <t xml:space="preserve">(-) Aluguel</t>
  </si>
  <si>
    <t xml:space="preserve">Lucro liquido</t>
  </si>
  <si>
    <t xml:space="preserve">Lucro pelo quiz</t>
  </si>
  <si>
    <t xml:space="preserve">Check (calculado - quiz)</t>
  </si>
  <si>
    <t xml:space="preserve">M3: preencher Premissas (amarelo) para a coluna; lucro oficial 1.590.</t>
  </si>
  <si>
    <t xml:space="preserve">DFC (metodo direto)</t>
  </si>
  <si>
    <t xml:space="preserve">Recebimentos de clientes</t>
  </si>
  <si>
    <t xml:space="preserve">(-) Pagamento a fornecedores</t>
  </si>
  <si>
    <t xml:space="preserve">(-) Pagamento de salarios</t>
  </si>
  <si>
    <t xml:space="preserve">(-) Pagamento de alugueis</t>
  </si>
  <si>
    <t xml:space="preserve">Caixa das operacoes (FCO)</t>
  </si>
  <si>
    <t xml:space="preserve">(-) Dividendos pagos (FCF)</t>
  </si>
  <si>
    <t xml:space="preserve">Variacao de caixa</t>
  </si>
  <si>
    <t xml:space="preserve">Caixa inicial</t>
  </si>
  <si>
    <t xml:space="preserve">Caixa final</t>
  </si>
  <si>
    <t xml:space="preserve">Check FCO (calculado - quiz)</t>
  </si>
  <si>
    <t xml:space="preserve">Balanco Patrimonial (fim do mes, apos dividendo)</t>
  </si>
  <si>
    <t xml:space="preserve">Fim M1</t>
  </si>
  <si>
    <t xml:space="preserve">Fim M2</t>
  </si>
  <si>
    <t xml:space="preserve">ATIVO</t>
  </si>
  <si>
    <t xml:space="preserve">Caixa</t>
  </si>
  <si>
    <t xml:space="preserve">Contas a receber (cartao)</t>
  </si>
  <si>
    <t xml:space="preserve">Estoque</t>
  </si>
  <si>
    <t xml:space="preserve">Total do ativo</t>
  </si>
  <si>
    <t xml:space="preserve">PASSIVO</t>
  </si>
  <si>
    <t xml:space="preserve">Fornecedores</t>
  </si>
  <si>
    <t xml:space="preserve">Salarios a pagar</t>
  </si>
  <si>
    <t xml:space="preserve">Alugueis a pagar</t>
  </si>
  <si>
    <t xml:space="preserve">Total do passivo</t>
  </si>
  <si>
    <t xml:space="preserve">PATRIMONIO LIQUIDO</t>
  </si>
  <si>
    <t xml:space="preserve">Capital social</t>
  </si>
  <si>
    <t xml:space="preserve">Lucros acumulados</t>
  </si>
  <si>
    <t xml:space="preserve">Total do PL</t>
  </si>
  <si>
    <t xml:space="preserve">Passivo + PL</t>
  </si>
  <si>
    <t xml:space="preserve">Check (Ativo - Passivo - PL)</t>
  </si>
  <si>
    <t xml:space="preserve">Fim de M3 fica pendente do enunciado (contas a receber e estoque finais).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</si>
</sst>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4" customFormat="false" ht="15" hidden="false" customHeight="false" outlineLevel="0" collapsed="false">
      <c r="A4" s="2" t="s">
        <v>6</v>
      </c>
    </row>
    <row r="5" customFormat="false" ht="15" hidden="false" customHeight="false" outlineLevel="0" collapsed="false">
      <c r="A5" s="4" t="s">
        <v>7</v>
      </c>
      <c r="B5" s="7" t="n">
        <v>125</v>
      </c>
    </row>
    <row r="6" customFormat="false" ht="15" hidden="false" customHeight="false" outlineLevel="0" collapsed="false">
      <c r="A6" s="4" t="s">
        <v>8</v>
      </c>
      <c r="B6" s="7" t="n">
        <v>25</v>
      </c>
    </row>
    <row r="7" customFormat="false" ht="15" hidden="false" customHeight="false" outlineLevel="0" collapsed="false">
      <c r="A7" s="4" t="s">
        <v>9</v>
      </c>
      <c r="B7" s="7" t="n">
        <v>20</v>
      </c>
    </row>
    <row r="8" customFormat="false" ht="15" hidden="false" customHeight="false" outlineLevel="0" collapsed="false">
      <c r="A8" s="4" t="s">
        <v>10</v>
      </c>
      <c r="B8" s="7" t="n">
        <v>0</v>
      </c>
    </row>
    <row r="10" customFormat="false" ht="15" hidden="false" customHeight="false" outlineLevel="0" collapsed="false">
      <c r="A10" s="2" t="s">
        <v>11</v>
      </c>
      <c r="C10" s="2" t="s">
        <v>12</v>
      </c>
      <c r="D10" s="2" t="s">
        <v>13</v>
      </c>
      <c r="E10" s="2" t="s">
        <v>14</v>
      </c>
    </row>
    <row r="11" customFormat="false" ht="15" hidden="false" customHeight="false" outlineLevel="0" collapsed="false">
      <c r="A11" s="4" t="s">
        <v>15</v>
      </c>
      <c r="C11" s="7" t="n">
        <v>3200</v>
      </c>
      <c r="D11" s="7" t="n">
        <v>3400</v>
      </c>
      <c r="E11" s="8"/>
    </row>
    <row r="12" customFormat="false" ht="15" hidden="false" customHeight="false" outlineLevel="0" collapsed="false">
      <c r="A12" s="4" t="s">
        <v>16</v>
      </c>
      <c r="C12" s="9" t="n">
        <v>1</v>
      </c>
      <c r="D12" s="9" t="n">
        <v>0.5</v>
      </c>
      <c r="E12" s="10"/>
    </row>
    <row r="13" customFormat="false" ht="15" hidden="false" customHeight="false" outlineLevel="0" collapsed="false">
      <c r="A13" s="4" t="s">
        <v>17</v>
      </c>
      <c r="C13" s="7" t="n">
        <v>700</v>
      </c>
      <c r="D13" s="7" t="n">
        <v>1340</v>
      </c>
      <c r="E13" s="8"/>
    </row>
    <row r="14" customFormat="false" ht="15" hidden="false" customHeight="false" outlineLevel="0" collapsed="false">
      <c r="A14" s="4" t="s">
        <v>18</v>
      </c>
      <c r="C14" s="7" t="n">
        <v>700</v>
      </c>
      <c r="D14" s="7" t="n">
        <v>680</v>
      </c>
      <c r="E14" s="8"/>
    </row>
    <row r="15" customFormat="false" ht="15" hidden="false" customHeight="false" outlineLevel="0" collapsed="false">
      <c r="A15" s="4" t="s">
        <v>19</v>
      </c>
      <c r="C15" s="7" t="n">
        <v>750</v>
      </c>
      <c r="D15" s="7" t="n">
        <v>750</v>
      </c>
      <c r="E15" s="7" t="n">
        <v>750</v>
      </c>
    </row>
    <row r="16" customFormat="false" ht="15" hidden="false" customHeight="false" outlineLevel="0" collapsed="false">
      <c r="A16" s="4" t="s">
        <v>20</v>
      </c>
      <c r="C16" s="7" t="n">
        <v>600</v>
      </c>
      <c r="D16" s="7" t="n">
        <v>600</v>
      </c>
      <c r="E16" s="7" t="n">
        <v>600</v>
      </c>
    </row>
    <row r="18" customFormat="false" ht="15" hidden="false" customHeight="false" outlineLevel="0" collapsed="false">
      <c r="A18" s="2" t="s">
        <v>21</v>
      </c>
    </row>
    <row r="19" customFormat="false" ht="15" hidden="false" customHeight="false" outlineLevel="0" collapsed="false">
      <c r="A19" s="4" t="s">
        <v>22</v>
      </c>
    </row>
    <row r="20" customFormat="false" ht="15" hidden="false" customHeight="false" outlineLevel="0" collapsed="false">
      <c r="A20" s="4" t="s">
        <v>23</v>
      </c>
    </row>
    <row r="21" customFormat="false" ht="15" hidden="false" customHeight="false" outlineLevel="0" collapsed="false">
      <c r="A21" s="4" t="s">
        <v>24</v>
      </c>
    </row>
    <row r="22" customFormat="false" ht="15" hidden="false" customHeight="false" outlineLevel="0" collapsed="false">
      <c r="A22" s="4" t="s">
        <v>25</v>
      </c>
    </row>
    <row r="23" customFormat="false" ht="15" hidden="false" customHeight="false" outlineLevel="0" collapsed="false">
      <c r="A23" s="4" t="s">
        <v>26</v>
      </c>
    </row>
    <row r="25" customFormat="false" ht="15" hidden="false" customHeight="false" outlineLevel="0" collapsed="false">
      <c r="A25" s="2" t="s">
        <v>27</v>
      </c>
    </row>
    <row r="26" customFormat="false" ht="15" hidden="false" customHeight="false" outlineLevel="0" collapsed="false">
      <c r="A26" s="4" t="s">
        <v>28</v>
      </c>
      <c r="C26" s="7" t="n">
        <v>1150</v>
      </c>
      <c r="D26" s="7" t="n">
        <v>1370</v>
      </c>
      <c r="E26" s="7" t="n">
        <v>1590</v>
      </c>
    </row>
    <row r="27" customFormat="false" ht="15" hidden="false" customHeight="false" outlineLevel="0" collapsed="false">
      <c r="A27" s="4" t="s">
        <v>29</v>
      </c>
      <c r="C27" s="7" t="n">
        <v>3200</v>
      </c>
      <c r="D27" s="7" t="n">
        <v>-350</v>
      </c>
      <c r="E27" s="7" t="n">
        <v>1260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B2" s="2" t="s">
        <v>31</v>
      </c>
      <c r="C2" s="2" t="s">
        <v>12</v>
      </c>
      <c r="D2" s="2" t="s">
        <v>13</v>
      </c>
    </row>
    <row r="3" customFormat="false" ht="15" hidden="false" customHeight="false" outlineLevel="0" collapsed="false">
      <c r="A3" s="4" t="s">
        <v>32</v>
      </c>
      <c r="B3" s="11" t="n">
        <f aca="false">Premissas!B5</f>
        <v>125</v>
      </c>
      <c r="C3" s="11" t="n">
        <f aca="false">Premissas!C11</f>
        <v>3200</v>
      </c>
      <c r="D3" s="11" t="n">
        <f aca="false">Premissas!D11</f>
        <v>3400</v>
      </c>
    </row>
    <row r="4" customFormat="false" ht="15" hidden="false" customHeight="false" outlineLevel="0" collapsed="false">
      <c r="A4" s="4" t="s">
        <v>33</v>
      </c>
      <c r="B4" s="11" t="n">
        <f aca="false">-Premissas!B6</f>
        <v>-25</v>
      </c>
      <c r="C4" s="11" t="n">
        <f aca="false">-Premissas!C14</f>
        <v>-700</v>
      </c>
      <c r="D4" s="11" t="n">
        <f aca="false">-Premissas!D14</f>
        <v>-680</v>
      </c>
    </row>
    <row r="5" customFormat="false" ht="15" hidden="false" customHeight="false" outlineLevel="0" collapsed="false">
      <c r="A5" s="2" t="s">
        <v>34</v>
      </c>
      <c r="B5" s="12" t="n">
        <f aca="false">SUM(B3:B4)</f>
        <v>100</v>
      </c>
      <c r="C5" s="12" t="n">
        <f aca="false">SUM(C3:C4)</f>
        <v>2500</v>
      </c>
      <c r="D5" s="12" t="n">
        <f aca="false">SUM(D3:D4)</f>
        <v>2720</v>
      </c>
    </row>
    <row r="6" customFormat="false" ht="15" hidden="false" customHeight="false" outlineLevel="0" collapsed="false">
      <c r="A6" s="4" t="s">
        <v>35</v>
      </c>
      <c r="B6" s="11" t="n">
        <f aca="false">-Premissas!B8</f>
        <v>-0</v>
      </c>
      <c r="C6" s="11" t="n">
        <f aca="false">-Premissas!C15</f>
        <v>-750</v>
      </c>
      <c r="D6" s="11" t="n">
        <f aca="false">-Premissas!D15</f>
        <v>-750</v>
      </c>
    </row>
    <row r="7" customFormat="false" ht="15" hidden="false" customHeight="false" outlineLevel="0" collapsed="false">
      <c r="A7" s="4" t="s">
        <v>36</v>
      </c>
      <c r="B7" s="11" t="n">
        <f aca="false">-Premissas!B7</f>
        <v>-20</v>
      </c>
      <c r="C7" s="11" t="n">
        <f aca="false">-Premissas!C16</f>
        <v>-600</v>
      </c>
      <c r="D7" s="11" t="n">
        <f aca="false">-Premissas!D16</f>
        <v>-600</v>
      </c>
    </row>
    <row r="8" customFormat="false" ht="15" hidden="false" customHeight="false" outlineLevel="0" collapsed="false">
      <c r="A8" s="2" t="s">
        <v>37</v>
      </c>
      <c r="B8" s="12" t="n">
        <f aca="false">B5+B6+B7</f>
        <v>80</v>
      </c>
      <c r="C8" s="12" t="n">
        <f aca="false">C5+C6+C7</f>
        <v>1150</v>
      </c>
      <c r="D8" s="12" t="n">
        <f aca="false">D5+D6+D7</f>
        <v>1370</v>
      </c>
    </row>
    <row r="10" customFormat="false" ht="15" hidden="false" customHeight="false" outlineLevel="0" collapsed="false">
      <c r="A10" s="4" t="s">
        <v>38</v>
      </c>
      <c r="C10" s="11" t="n">
        <f aca="false">Premissas!C26</f>
        <v>1150</v>
      </c>
      <c r="D10" s="11" t="n">
        <f aca="false">Premissas!D26</f>
        <v>1370</v>
      </c>
    </row>
    <row r="11" customFormat="false" ht="15" hidden="false" customHeight="false" outlineLevel="0" collapsed="false">
      <c r="A11" s="4" t="s">
        <v>39</v>
      </c>
      <c r="C11" s="13" t="n">
        <f aca="false">C8-C10</f>
        <v>0</v>
      </c>
      <c r="D11" s="13" t="n">
        <f aca="false">D8-D10</f>
        <v>0</v>
      </c>
    </row>
    <row r="13" customFormat="false" ht="15" hidden="false" customHeight="false" outlineLevel="0" collapsed="false">
      <c r="A13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B2" s="2" t="s">
        <v>12</v>
      </c>
      <c r="C2" s="2" t="s">
        <v>13</v>
      </c>
      <c r="D2" s="2" t="s">
        <v>14</v>
      </c>
    </row>
    <row r="3" customFormat="false" ht="15" hidden="false" customHeight="false" outlineLevel="0" collapsed="false">
      <c r="A3" s="4" t="s">
        <v>42</v>
      </c>
      <c r="B3" s="11" t="n">
        <f aca="false">Premissas!C11*Premissas!C12</f>
        <v>3200</v>
      </c>
      <c r="C3" s="11" t="n">
        <f aca="false">Premissas!D11*Premissas!D12+Premissas!C11*(1-Premissas!C12)</f>
        <v>1700</v>
      </c>
    </row>
    <row r="4" customFormat="false" ht="15" hidden="false" customHeight="false" outlineLevel="0" collapsed="false">
      <c r="A4" s="4" t="s">
        <v>43</v>
      </c>
      <c r="B4" s="7" t="n">
        <v>0</v>
      </c>
      <c r="C4" s="11" t="n">
        <f aca="false">-Premissas!C13</f>
        <v>-700</v>
      </c>
    </row>
    <row r="5" customFormat="false" ht="15" hidden="false" customHeight="false" outlineLevel="0" collapsed="false">
      <c r="A5" s="4" t="s">
        <v>44</v>
      </c>
      <c r="B5" s="7" t="n">
        <v>0</v>
      </c>
      <c r="C5" s="11" t="n">
        <f aca="false">-Premissas!C15</f>
        <v>-750</v>
      </c>
    </row>
    <row r="6" customFormat="false" ht="15" hidden="false" customHeight="false" outlineLevel="0" collapsed="false">
      <c r="A6" s="4" t="s">
        <v>45</v>
      </c>
      <c r="B6" s="7" t="n">
        <v>0</v>
      </c>
      <c r="C6" s="11" t="n">
        <f aca="false">-Premissas!C16</f>
        <v>-600</v>
      </c>
    </row>
    <row r="7" customFormat="false" ht="15" hidden="false" customHeight="false" outlineLevel="0" collapsed="false">
      <c r="A7" s="2" t="s">
        <v>46</v>
      </c>
      <c r="B7" s="12" t="n">
        <f aca="false">SUM(B3:B6)</f>
        <v>3200</v>
      </c>
      <c r="C7" s="12" t="n">
        <f aca="false">SUM(C3:C6)</f>
        <v>-350</v>
      </c>
      <c r="D7" s="14" t="n">
        <v>1260</v>
      </c>
    </row>
    <row r="9" customFormat="false" ht="15" hidden="false" customHeight="false" outlineLevel="0" collapsed="false">
      <c r="A9" s="4" t="s">
        <v>47</v>
      </c>
      <c r="B9" s="11" t="n">
        <f aca="false">-DRE!C8</f>
        <v>-1150</v>
      </c>
      <c r="C9" s="11" t="n">
        <f aca="false">-DRE!D8</f>
        <v>-1370</v>
      </c>
      <c r="D9" s="11" t="n">
        <f aca="false">-Premissas!E26</f>
        <v>-1590</v>
      </c>
    </row>
    <row r="10" customFormat="false" ht="15" hidden="false" customHeight="false" outlineLevel="0" collapsed="false">
      <c r="A10" s="2" t="s">
        <v>48</v>
      </c>
      <c r="B10" s="12" t="n">
        <f aca="false">B7+B9</f>
        <v>2050</v>
      </c>
      <c r="C10" s="12" t="n">
        <f aca="false">C7+C9</f>
        <v>-1720</v>
      </c>
      <c r="D10" s="12" t="n">
        <f aca="false">D7+D9</f>
        <v>-330</v>
      </c>
    </row>
    <row r="11" customFormat="false" ht="15" hidden="false" customHeight="false" outlineLevel="0" collapsed="false">
      <c r="A11" s="4" t="s">
        <v>49</v>
      </c>
      <c r="B11" s="7" t="n">
        <v>0</v>
      </c>
      <c r="C11" s="13" t="n">
        <f aca="false">B12</f>
        <v>2050</v>
      </c>
      <c r="D11" s="13" t="n">
        <f aca="false">C12</f>
        <v>330</v>
      </c>
    </row>
    <row r="12" customFormat="false" ht="15" hidden="false" customHeight="false" outlineLevel="0" collapsed="false">
      <c r="A12" s="2" t="s">
        <v>50</v>
      </c>
      <c r="B12" s="12" t="n">
        <f aca="false">B10+B11</f>
        <v>2050</v>
      </c>
      <c r="C12" s="12" t="n">
        <f aca="false">C10+C11</f>
        <v>330</v>
      </c>
      <c r="D12" s="12" t="n">
        <f aca="false">D10+D11</f>
        <v>0</v>
      </c>
    </row>
    <row r="14" customFormat="false" ht="15" hidden="false" customHeight="false" outlineLevel="0" collapsed="false">
      <c r="A14" s="4" t="s">
        <v>51</v>
      </c>
      <c r="B14" s="13" t="n">
        <f aca="false">B7-Premissas!C27</f>
        <v>0</v>
      </c>
      <c r="C14" s="13" t="n">
        <f aca="false">C7-Premissas!D27</f>
        <v>0</v>
      </c>
      <c r="D14" s="13" t="n">
        <f aca="false">D7-Premissas!E27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" t="s">
        <v>52</v>
      </c>
    </row>
    <row r="2" customFormat="false" ht="15" hidden="false" customHeight="false" outlineLevel="0" collapsed="false">
      <c r="B2" s="2" t="s">
        <v>53</v>
      </c>
      <c r="C2" s="2" t="s">
        <v>54</v>
      </c>
    </row>
    <row r="3" customFormat="false" ht="15" hidden="false" customHeight="false" outlineLevel="0" collapsed="false">
      <c r="A3" s="2" t="s">
        <v>55</v>
      </c>
    </row>
    <row r="4" customFormat="false" ht="15" hidden="false" customHeight="false" outlineLevel="0" collapsed="false">
      <c r="A4" s="4" t="s">
        <v>56</v>
      </c>
      <c r="B4" s="11" t="n">
        <f aca="false">DFC!B12</f>
        <v>2050</v>
      </c>
      <c r="C4" s="11" t="n">
        <f aca="false">DFC!C12</f>
        <v>330</v>
      </c>
    </row>
    <row r="5" customFormat="false" ht="15" hidden="false" customHeight="false" outlineLevel="0" collapsed="false">
      <c r="A5" s="4" t="s">
        <v>57</v>
      </c>
      <c r="B5" s="11" t="n">
        <f aca="false">Premissas!C11*(1-Premissas!C12)</f>
        <v>0</v>
      </c>
      <c r="C5" s="11" t="n">
        <f aca="false">Premissas!D11*(1-Premissas!D12)</f>
        <v>1700</v>
      </c>
    </row>
    <row r="6" customFormat="false" ht="15" hidden="false" customHeight="false" outlineLevel="0" collapsed="false">
      <c r="A6" s="4" t="s">
        <v>58</v>
      </c>
      <c r="B6" s="11" t="n">
        <f aca="false">Premissas!C13-Premissas!C14</f>
        <v>0</v>
      </c>
      <c r="C6" s="11" t="n">
        <f aca="false">B6+Premissas!D13-Premissas!D14</f>
        <v>660</v>
      </c>
    </row>
    <row r="7" customFormat="false" ht="15" hidden="false" customHeight="false" outlineLevel="0" collapsed="false">
      <c r="A7" s="2" t="s">
        <v>59</v>
      </c>
      <c r="B7" s="12" t="n">
        <f aca="false">SUM(B4:B6)</f>
        <v>2050</v>
      </c>
      <c r="C7" s="12" t="n">
        <f aca="false">SUM(C4:C6)</f>
        <v>2690</v>
      </c>
    </row>
    <row r="9" customFormat="false" ht="15" hidden="false" customHeight="false" outlineLevel="0" collapsed="false">
      <c r="A9" s="2" t="s">
        <v>60</v>
      </c>
    </row>
    <row r="10" customFormat="false" ht="15" hidden="false" customHeight="false" outlineLevel="0" collapsed="false">
      <c r="A10" s="4" t="s">
        <v>61</v>
      </c>
      <c r="B10" s="11" t="n">
        <f aca="false">Premissas!C13</f>
        <v>700</v>
      </c>
      <c r="C10" s="11" t="n">
        <f aca="false">Premissas!D13</f>
        <v>1340</v>
      </c>
    </row>
    <row r="11" customFormat="false" ht="15" hidden="false" customHeight="false" outlineLevel="0" collapsed="false">
      <c r="A11" s="4" t="s">
        <v>62</v>
      </c>
      <c r="B11" s="11" t="n">
        <f aca="false">Premissas!C15</f>
        <v>750</v>
      </c>
      <c r="C11" s="11" t="n">
        <f aca="false">Premissas!D15</f>
        <v>750</v>
      </c>
    </row>
    <row r="12" customFormat="false" ht="15" hidden="false" customHeight="false" outlineLevel="0" collapsed="false">
      <c r="A12" s="4" t="s">
        <v>63</v>
      </c>
      <c r="B12" s="11" t="n">
        <f aca="false">Premissas!C16</f>
        <v>600</v>
      </c>
      <c r="C12" s="11" t="n">
        <f aca="false">Premissas!D16</f>
        <v>600</v>
      </c>
    </row>
    <row r="13" customFormat="false" ht="15" hidden="false" customHeight="false" outlineLevel="0" collapsed="false">
      <c r="A13" s="2" t="s">
        <v>64</v>
      </c>
      <c r="B13" s="12" t="n">
        <f aca="false">SUM(B10:B12)</f>
        <v>2050</v>
      </c>
      <c r="C13" s="12" t="n">
        <f aca="false">SUM(C10:C12)</f>
        <v>2690</v>
      </c>
    </row>
    <row r="15" customFormat="false" ht="15" hidden="false" customHeight="false" outlineLevel="0" collapsed="false">
      <c r="A15" s="2" t="s">
        <v>65</v>
      </c>
    </row>
    <row r="16" customFormat="false" ht="15" hidden="false" customHeight="false" outlineLevel="0" collapsed="false">
      <c r="A16" s="4" t="s">
        <v>66</v>
      </c>
      <c r="B16" s="7" t="n">
        <v>0</v>
      </c>
      <c r="C16" s="13" t="n">
        <f aca="false">B16</f>
        <v>0</v>
      </c>
    </row>
    <row r="17" customFormat="false" ht="15" hidden="false" customHeight="false" outlineLevel="0" collapsed="false">
      <c r="A17" s="4" t="s">
        <v>67</v>
      </c>
      <c r="B17" s="11" t="n">
        <f aca="false">DRE!C8+DFC!B9</f>
        <v>0</v>
      </c>
      <c r="C17" s="11" t="n">
        <f aca="false">B17+DRE!D8+DFC!C9</f>
        <v>0</v>
      </c>
    </row>
    <row r="18" customFormat="false" ht="15" hidden="false" customHeight="false" outlineLevel="0" collapsed="false">
      <c r="A18" s="2" t="s">
        <v>68</v>
      </c>
      <c r="B18" s="12" t="n">
        <f aca="false">B16+B17</f>
        <v>0</v>
      </c>
      <c r="C18" s="12" t="n">
        <f aca="false">C16+C17</f>
        <v>0</v>
      </c>
    </row>
    <row r="20" customFormat="false" ht="15" hidden="false" customHeight="false" outlineLevel="0" collapsed="false">
      <c r="A20" s="2" t="s">
        <v>69</v>
      </c>
      <c r="B20" s="12" t="n">
        <f aca="false">B13+B18</f>
        <v>2050</v>
      </c>
      <c r="C20" s="12" t="n">
        <f aca="false">C13+C18</f>
        <v>2690</v>
      </c>
    </row>
    <row r="21" customFormat="false" ht="15" hidden="false" customHeight="false" outlineLevel="0" collapsed="false">
      <c r="A21" s="4" t="s">
        <v>70</v>
      </c>
      <c r="B21" s="13" t="n">
        <f aca="false">B7-B20</f>
        <v>0</v>
      </c>
      <c r="C21" s="13" t="n">
        <f aca="false">C7-C20</f>
        <v>0</v>
      </c>
    </row>
    <row r="23" customFormat="false" ht="15" hidden="false" customHeight="false" outlineLevel="0" collapsed="false">
      <c r="A23" s="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2026-08-12T15:04:31Z</dcterms:created>
  <dc:creator>openpyxl</dc:creator>
  <dc:description/>
  <dc:language>pt-BR</dc:language>
  <cp:lastModifiedBy/>
  <dcterms:modified xsi:type="dcterms:W3CDTF">2026-08-12T15:04:31Z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