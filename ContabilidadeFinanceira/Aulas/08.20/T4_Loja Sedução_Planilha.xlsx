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Notas</author>
  </authors>
  <commentList>
    <comment ref="C24" authorId="0">
      <text>
        <r>
          <rPr>
            <sz val="10"/>
            <rFont val="Arial"/>
            <family val="2"/>
          </rPr>
          <t xml:space="preserve">Empréstimo em 5 parcelas anuais e juros pagos anualmente: classificado integralmente no passivo não circulante.</t>
        </r>
      </text>
    </comment>
    <comment ref="D10" authorId="0">
      <text>
        <r>
          <rPr>
            <sz val="10"/>
            <rFont val="Arial"/>
            <family val="2"/>
          </rPr>
          <t xml:space="preserve">IPI não recuperável (10% de 12.000) integra o custo do imobilizado. Depreciação: 13.200 / 24 meses = 550/mês.</t>
        </r>
      </text>
    </comment>
    <comment ref="O34" authorId="0">
      <text>
        <r>
          <rPr>
            <sz val="10"/>
            <rFont val="Arial"/>
            <family val="2"/>
          </rPr>
          <t xml:space="preserve">Receita de agosto = R$180.000 de vendas do período + R$20.000 dos vales-presente resgatados (baixa do adiantamento de clientes). O CMV de 151.000 (= 4.000 + 170.000 - 23.000) cobre todas as entregas, inclusive vales.</t>
        </r>
      </text>
    </comment>
    <comment ref="S54" authorId="0">
      <text>
        <r>
          <rPr>
            <sz val="10"/>
            <rFont val="Arial"/>
            <family val="2"/>
          </rPr>
          <t xml:space="preserve">Juros pagos classificados no fluxo operacional; amortização do principal e dividendos pagos no fluxo de financiamento.</t>
        </r>
      </text>
    </comment>
    <comment ref="T21" authorId="0">
      <text>
        <r>
          <rPr>
            <sz val="10"/>
            <rFont val="Arial"/>
            <family val="2"/>
          </rPr>
          <t xml:space="preserve">O IR de julho (15.435) não foi pago em agosto: o enunciado 4.3 manda pagar apenas funcionários e sócios. O saldo de 30/08 acumula IR de julho + IR de agosto (12.975).</t>
        </r>
      </text>
    </comment>
  </commentList>
</comments>
</file>

<file path=xl/sharedStrings.xml><?xml version="1.0" encoding="utf-8"?>
<sst xmlns="http://schemas.openxmlformats.org/spreadsheetml/2006/main" count="58" uniqueCount="55">
  <si>
    <t xml:space="preserve">Transações, por Número</t>
  </si>
  <si>
    <t xml:space="preserve">Ativo Circulante</t>
  </si>
  <si>
    <t xml:space="preserve">Caixa</t>
  </si>
  <si>
    <t xml:space="preserve">Contas a Receber</t>
  </si>
  <si>
    <t xml:space="preserve">Estoques</t>
  </si>
  <si>
    <t xml:space="preserve">Despesas Antecipadas</t>
  </si>
  <si>
    <t xml:space="preserve">Ativo Não Circulante</t>
  </si>
  <si>
    <t xml:space="preserve">Imobilizado (móveis)</t>
  </si>
  <si>
    <t xml:space="preserve">(-) Depreciação Acumulada</t>
  </si>
  <si>
    <t xml:space="preserve">TOTAL DO ATIVO</t>
  </si>
  <si>
    <t xml:space="preserve">PASSIVO &amp; PL</t>
  </si>
  <si>
    <t xml:space="preserve">Passivo Circulante</t>
  </si>
  <si>
    <t xml:space="preserve">Fornecedores</t>
  </si>
  <si>
    <t xml:space="preserve">Salários a Pagar</t>
  </si>
  <si>
    <t xml:space="preserve">Adiantamento de Clientes</t>
  </si>
  <si>
    <t xml:space="preserve">IR e CSLL a Pagar</t>
  </si>
  <si>
    <t xml:space="preserve">Dividendos a Pagar</t>
  </si>
  <si>
    <t xml:space="preserve">Passivo Não Circulante</t>
  </si>
  <si>
    <t xml:space="preserve">Empréstimos</t>
  </si>
  <si>
    <t xml:space="preserve">Juros a Pagar</t>
  </si>
  <si>
    <t xml:space="preserve">Patrimônio Líquido</t>
  </si>
  <si>
    <t xml:space="preserve">Capital Social</t>
  </si>
  <si>
    <t xml:space="preserve">Lucros Acumulados</t>
  </si>
  <si>
    <t xml:space="preserve">TOTAL DO PASSIVO + PL</t>
  </si>
  <si>
    <t xml:space="preserve">DIFERENÇA, SE HOUVER</t>
  </si>
  <si>
    <t xml:space="preserve">DRE</t>
  </si>
  <si>
    <t xml:space="preserve">Julho</t>
  </si>
  <si>
    <t xml:space="preserve">Agosto</t>
  </si>
  <si>
    <t xml:space="preserve">Receita de Vendas</t>
  </si>
  <si>
    <t xml:space="preserve"> CMV</t>
  </si>
  <si>
    <t xml:space="preserve">Lucro Bruto</t>
  </si>
  <si>
    <t xml:space="preserve">Despesas Operacionais</t>
  </si>
  <si>
    <t xml:space="preserve">  Despesas de Vendas</t>
  </si>
  <si>
    <t xml:space="preserve">  Despesas Gerais e Admin.</t>
  </si>
  <si>
    <t xml:space="preserve">  Outras Desp./Rec. Operacionais</t>
  </si>
  <si>
    <t xml:space="preserve">Lucro antes do result. fin. (EBIT)</t>
  </si>
  <si>
    <t xml:space="preserve">  Despesa de juros</t>
  </si>
  <si>
    <t xml:space="preserve">Lucro antes do IR</t>
  </si>
  <si>
    <t xml:space="preserve">  IR e CSLL</t>
  </si>
  <si>
    <t xml:space="preserve">Lucro Líquido</t>
  </si>
  <si>
    <t xml:space="preserve">DFC</t>
  </si>
  <si>
    <t xml:space="preserve">OPERAÇÕES</t>
  </si>
  <si>
    <t xml:space="preserve">Recebimentos de clientes</t>
  </si>
  <si>
    <t xml:space="preserve">Pagamentos a fornecedores</t>
  </si>
  <si>
    <t xml:space="preserve">Pagamentos de salários</t>
  </si>
  <si>
    <t xml:space="preserve">Pagamentos de aluguel e propaganda</t>
  </si>
  <si>
    <t xml:space="preserve">Juros pagos</t>
  </si>
  <si>
    <t xml:space="preserve">INVESTIMENTOS</t>
  </si>
  <si>
    <t xml:space="preserve">Compra de mobiliário</t>
  </si>
  <si>
    <t xml:space="preserve">FINANCIAMENTOS</t>
  </si>
  <si>
    <t xml:space="preserve">Empréstimos captados (amortizados)</t>
  </si>
  <si>
    <t xml:space="preserve">Dividendos pagos</t>
  </si>
  <si>
    <t xml:space="preserve">VARIAÇÃO DO CAIXA</t>
  </si>
  <si>
    <t xml:space="preserve">Saldo inicial</t>
  </si>
  <si>
    <t xml:space="preserve">Saldo final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</si>
</sst>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/mmm"/>
    <numFmt numFmtId="166" formatCode="_(* #,##0.00_);_(* \(#,##0.00\);_(* \-??_);_(@_)"/>
    <numFmt numFmtId="167" formatCode="_(* #,##0_);_(* \(#,##0\);_(* \-??_);_(@_)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70C0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u val="single"/>
      <sz val="10"/>
      <color theme="1"/>
      <name val="Arial"/>
      <family val="2"/>
      <charset val="1"/>
    </font>
    <font>
      <sz val="10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i val="true"/>
      <u val="single"/>
      <sz val="10"/>
      <color theme="1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7999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4" fillId="0" borderId="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6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7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8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10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1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63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N51" activeCellId="0" sqref="N5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29.09"/>
    <col collapsed="false" customWidth="true" hidden="false" outlineLevel="0" max="2" min="2" style="1" width="9.73"/>
    <col collapsed="false" customWidth="false" hidden="false" outlineLevel="0" max="29" min="3" style="2" width="8.73"/>
  </cols>
  <sheetData>
    <row r="1" s="3" customFormat="true" ht="14.25" hidden="false" customHeight="false" outlineLevel="0" collapsed="false">
      <c r="B1" s="4"/>
      <c r="C1" s="5"/>
      <c r="D1" s="6"/>
      <c r="E1" s="6"/>
      <c r="F1" s="6" t="s">
        <v>0</v>
      </c>
      <c r="G1" s="6"/>
      <c r="H1" s="6"/>
      <c r="I1" s="6"/>
      <c r="J1" s="6"/>
      <c r="K1" s="6"/>
      <c r="L1" s="7"/>
      <c r="M1" s="6"/>
      <c r="N1" s="6"/>
      <c r="O1" s="6"/>
      <c r="P1" s="6" t="s">
        <v>0</v>
      </c>
      <c r="Q1" s="6"/>
      <c r="R1" s="6"/>
      <c r="S1" s="6"/>
      <c r="T1" s="6"/>
      <c r="U1" s="7"/>
      <c r="V1" s="6"/>
      <c r="W1" s="6"/>
      <c r="X1" s="6"/>
      <c r="Y1" s="6"/>
      <c r="Z1" s="6"/>
      <c r="AA1" s="6"/>
      <c r="AB1" s="6"/>
      <c r="AC1" s="6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</row>
    <row r="2" customFormat="false" ht="14.25" hidden="false" customHeight="false" outlineLevel="0" collapsed="false">
      <c r="B2" s="8" t="n">
        <v>45838</v>
      </c>
      <c r="C2" s="9" t="n">
        <v>1</v>
      </c>
      <c r="D2" s="9" t="n">
        <v>2</v>
      </c>
      <c r="E2" s="9" t="n">
        <v>3</v>
      </c>
      <c r="F2" s="9" t="n">
        <v>4</v>
      </c>
      <c r="G2" s="9" t="n">
        <v>5</v>
      </c>
      <c r="H2" s="9" t="n">
        <v>6</v>
      </c>
      <c r="I2" s="9" t="n">
        <v>7</v>
      </c>
      <c r="J2" s="9" t="n">
        <v>8</v>
      </c>
      <c r="K2" s="9" t="n">
        <v>9</v>
      </c>
      <c r="L2" s="10" t="n">
        <v>45868</v>
      </c>
      <c r="M2" s="9" t="n">
        <v>1</v>
      </c>
      <c r="N2" s="9" t="n">
        <v>2</v>
      </c>
      <c r="O2" s="9" t="n">
        <v>3</v>
      </c>
      <c r="P2" s="9" t="n">
        <v>4</v>
      </c>
      <c r="Q2" s="9" t="n">
        <v>5</v>
      </c>
      <c r="R2" s="9" t="n">
        <v>6</v>
      </c>
      <c r="S2" s="9" t="n">
        <v>7</v>
      </c>
      <c r="T2" s="9" t="n">
        <v>8</v>
      </c>
      <c r="U2" s="10" t="n">
        <v>45899</v>
      </c>
    </row>
    <row r="3" customFormat="false" ht="14.25" hidden="false" customHeight="false" outlineLevel="0" collapsed="false">
      <c r="A3" s="11" t="s">
        <v>1</v>
      </c>
      <c r="B3" s="12"/>
      <c r="C3" s="13"/>
      <c r="D3" s="13"/>
      <c r="E3" s="13"/>
      <c r="F3" s="13"/>
      <c r="G3" s="13"/>
      <c r="H3" s="13"/>
      <c r="I3" s="13"/>
      <c r="J3" s="13"/>
      <c r="K3" s="13"/>
      <c r="L3" s="12"/>
      <c r="M3" s="13"/>
      <c r="N3" s="13"/>
      <c r="O3" s="13"/>
      <c r="P3" s="13"/>
      <c r="Q3" s="13"/>
      <c r="R3" s="13"/>
      <c r="S3" s="13"/>
      <c r="T3" s="13"/>
      <c r="U3" s="12"/>
      <c r="V3" s="13"/>
      <c r="W3" s="13"/>
      <c r="X3" s="13"/>
      <c r="Y3" s="13"/>
      <c r="Z3" s="13"/>
      <c r="AA3" s="13"/>
      <c r="AB3" s="13"/>
    </row>
    <row r="4" customFormat="false" ht="14.25" hidden="false" customHeight="false" outlineLevel="0" collapsed="false">
      <c r="A4" s="14" t="s">
        <v>2</v>
      </c>
      <c r="B4" s="12" t="n">
        <v>80000</v>
      </c>
      <c r="C4" s="13" t="n">
        <v>50000</v>
      </c>
      <c r="D4" s="13" t="n">
        <f aca="false">-9000-12000*1.1</f>
        <v>-22200</v>
      </c>
      <c r="E4" s="13" t="n">
        <v>-100000</v>
      </c>
      <c r="F4" s="13" t="n">
        <v>-1200</v>
      </c>
      <c r="G4" s="13" t="n">
        <f aca="false">102000+20000</f>
        <v>122000</v>
      </c>
      <c r="H4" s="13" t="n">
        <v>-1000</v>
      </c>
      <c r="I4" s="13"/>
      <c r="J4" s="13"/>
      <c r="K4" s="13"/>
      <c r="L4" s="12" t="n">
        <f aca="false">SUM(B4:K4)</f>
        <v>127600</v>
      </c>
      <c r="M4" s="13" t="n">
        <f aca="false">L5-L19-L22</f>
        <v>34594</v>
      </c>
      <c r="N4" s="13" t="n">
        <v>-155000</v>
      </c>
      <c r="O4" s="13" t="n">
        <f aca="false">180000-24000</f>
        <v>156000</v>
      </c>
      <c r="P4" s="13" t="n">
        <v>250</v>
      </c>
      <c r="Q4" s="13" t="n">
        <v>-1000</v>
      </c>
      <c r="R4" s="13"/>
      <c r="S4" s="13" t="n">
        <f aca="false">-50000-1000</f>
        <v>-51000</v>
      </c>
      <c r="T4" s="13"/>
      <c r="U4" s="12" t="n">
        <f aca="false">SUM(L4:T4)</f>
        <v>111444</v>
      </c>
      <c r="V4" s="13"/>
      <c r="W4" s="13"/>
      <c r="X4" s="13"/>
      <c r="Y4" s="13"/>
      <c r="Z4" s="13"/>
      <c r="AA4" s="13"/>
      <c r="AB4" s="13"/>
    </row>
    <row r="5" customFormat="false" ht="14.25" hidden="false" customHeight="false" outlineLevel="0" collapsed="false">
      <c r="A5" s="14" t="s">
        <v>3</v>
      </c>
      <c r="B5" s="12"/>
      <c r="C5" s="13"/>
      <c r="D5" s="13"/>
      <c r="E5" s="13"/>
      <c r="F5" s="13"/>
      <c r="G5" s="13" t="n">
        <v>50000</v>
      </c>
      <c r="H5" s="13"/>
      <c r="I5" s="13"/>
      <c r="J5" s="13"/>
      <c r="K5" s="13"/>
      <c r="L5" s="12" t="n">
        <f aca="false">SUM(B5:K5)</f>
        <v>50000</v>
      </c>
      <c r="M5" s="13" t="n">
        <f aca="false">-L5</f>
        <v>-50000</v>
      </c>
      <c r="N5" s="13"/>
      <c r="O5" s="13" t="n">
        <v>24000</v>
      </c>
      <c r="P5" s="13"/>
      <c r="Q5" s="13"/>
      <c r="R5" s="13"/>
      <c r="S5" s="13"/>
      <c r="T5" s="13"/>
      <c r="U5" s="12" t="n">
        <f aca="false">SUM(L5:T5)</f>
        <v>24000</v>
      </c>
      <c r="V5" s="13"/>
      <c r="W5" s="13"/>
      <c r="X5" s="13"/>
      <c r="Y5" s="13"/>
      <c r="Z5" s="13"/>
      <c r="AA5" s="13"/>
      <c r="AB5" s="13"/>
    </row>
    <row r="6" customFormat="false" ht="14.25" hidden="false" customHeight="false" outlineLevel="0" collapsed="false">
      <c r="A6" s="14" t="s">
        <v>4</v>
      </c>
      <c r="B6" s="12"/>
      <c r="C6" s="13"/>
      <c r="D6" s="13"/>
      <c r="E6" s="13" t="n">
        <v>100000</v>
      </c>
      <c r="F6" s="13"/>
      <c r="G6" s="13" t="n">
        <f aca="false">-(100000-4000)</f>
        <v>-96000</v>
      </c>
      <c r="H6" s="13"/>
      <c r="I6" s="13"/>
      <c r="J6" s="13"/>
      <c r="K6" s="13"/>
      <c r="L6" s="12" t="n">
        <f aca="false">SUM(B6:K6)</f>
        <v>4000</v>
      </c>
      <c r="M6" s="13"/>
      <c r="N6" s="13" t="n">
        <v>170000</v>
      </c>
      <c r="O6" s="13" t="n">
        <f aca="false">-(4000+170000-23000)</f>
        <v>-151000</v>
      </c>
      <c r="P6" s="13"/>
      <c r="Q6" s="13"/>
      <c r="R6" s="13"/>
      <c r="S6" s="13"/>
      <c r="T6" s="13"/>
      <c r="U6" s="12" t="n">
        <f aca="false">SUM(L6:T6)</f>
        <v>23000</v>
      </c>
      <c r="V6" s="13"/>
      <c r="W6" s="13"/>
      <c r="X6" s="13"/>
      <c r="Y6" s="13"/>
      <c r="Z6" s="13"/>
      <c r="AA6" s="13"/>
      <c r="AB6" s="13"/>
    </row>
    <row r="7" customFormat="false" ht="14.25" hidden="false" customHeight="false" outlineLevel="0" collapsed="false">
      <c r="A7" s="14" t="s">
        <v>5</v>
      </c>
      <c r="B7" s="12"/>
      <c r="C7" s="13"/>
      <c r="D7" s="13" t="n">
        <v>9000</v>
      </c>
      <c r="E7" s="13"/>
      <c r="F7" s="13" t="n">
        <v>1200</v>
      </c>
      <c r="G7" s="13"/>
      <c r="H7" s="13"/>
      <c r="I7" s="13" t="n">
        <f aca="false">-9000/6</f>
        <v>-1500</v>
      </c>
      <c r="J7" s="13"/>
      <c r="K7" s="13"/>
      <c r="L7" s="12" t="n">
        <f aca="false">SUM(B7:K7)</f>
        <v>8700</v>
      </c>
      <c r="M7" s="13"/>
      <c r="N7" s="13"/>
      <c r="O7" s="13"/>
      <c r="P7" s="13"/>
      <c r="Q7" s="13"/>
      <c r="R7" s="13" t="n">
        <v>-1200</v>
      </c>
      <c r="S7" s="13"/>
      <c r="T7" s="13" t="n">
        <f aca="false">-9000/6</f>
        <v>-1500</v>
      </c>
      <c r="U7" s="12" t="n">
        <f aca="false">SUM(L7:T7)</f>
        <v>6000</v>
      </c>
      <c r="V7" s="13"/>
      <c r="W7" s="13"/>
      <c r="X7" s="13"/>
      <c r="Y7" s="13"/>
      <c r="Z7" s="13"/>
      <c r="AA7" s="13"/>
      <c r="AB7" s="13"/>
    </row>
    <row r="8" customFormat="false" ht="14.25" hidden="false" customHeight="false" outlineLevel="0" collapsed="false">
      <c r="A8" s="15"/>
      <c r="B8" s="12"/>
      <c r="C8" s="13"/>
      <c r="D8" s="13"/>
      <c r="E8" s="13"/>
      <c r="F8" s="13"/>
      <c r="G8" s="13"/>
      <c r="H8" s="13"/>
      <c r="I8" s="13"/>
      <c r="J8" s="13"/>
      <c r="K8" s="13"/>
      <c r="L8" s="12"/>
      <c r="M8" s="13"/>
      <c r="N8" s="13"/>
      <c r="O8" s="13"/>
      <c r="P8" s="13"/>
      <c r="Q8" s="13"/>
      <c r="R8" s="13"/>
      <c r="S8" s="13"/>
      <c r="T8" s="13"/>
      <c r="U8" s="12"/>
      <c r="V8" s="13"/>
      <c r="W8" s="13"/>
      <c r="X8" s="13"/>
      <c r="Y8" s="13"/>
      <c r="Z8" s="13"/>
      <c r="AA8" s="13"/>
      <c r="AB8" s="13"/>
    </row>
    <row r="9" customFormat="false" ht="14.25" hidden="false" customHeight="false" outlineLevel="0" collapsed="false">
      <c r="A9" s="11" t="s">
        <v>6</v>
      </c>
      <c r="B9" s="12"/>
      <c r="C9" s="13"/>
      <c r="D9" s="13"/>
      <c r="E9" s="13"/>
      <c r="F9" s="13"/>
      <c r="G9" s="13"/>
      <c r="H9" s="13"/>
      <c r="I9" s="13"/>
      <c r="J9" s="13"/>
      <c r="K9" s="13"/>
      <c r="L9" s="12"/>
      <c r="M9" s="13"/>
      <c r="N9" s="13"/>
      <c r="O9" s="13"/>
      <c r="P9" s="13"/>
      <c r="Q9" s="13"/>
      <c r="R9" s="13"/>
      <c r="S9" s="13"/>
      <c r="T9" s="13"/>
      <c r="U9" s="12"/>
      <c r="V9" s="13"/>
      <c r="W9" s="13"/>
      <c r="X9" s="13"/>
      <c r="Y9" s="13"/>
      <c r="Z9" s="13"/>
      <c r="AA9" s="13"/>
      <c r="AB9" s="13"/>
    </row>
    <row r="10" customFormat="false" ht="14.25" hidden="false" customHeight="false" outlineLevel="0" collapsed="false">
      <c r="A10" s="14" t="s">
        <v>7</v>
      </c>
      <c r="B10" s="12"/>
      <c r="C10" s="13"/>
      <c r="D10" s="13" t="n">
        <f aca="false">12000*1.1</f>
        <v>13200</v>
      </c>
      <c r="E10" s="13"/>
      <c r="F10" s="13"/>
      <c r="G10" s="13"/>
      <c r="H10" s="13"/>
      <c r="I10" s="13"/>
      <c r="J10" s="13"/>
      <c r="K10" s="13"/>
      <c r="L10" s="12" t="n">
        <f aca="false">SUM(B10:K10)</f>
        <v>13200</v>
      </c>
      <c r="M10" s="13"/>
      <c r="N10" s="13"/>
      <c r="O10" s="13"/>
      <c r="P10" s="13"/>
      <c r="Q10" s="13"/>
      <c r="R10" s="13"/>
      <c r="S10" s="13"/>
      <c r="T10" s="13"/>
      <c r="U10" s="12" t="n">
        <f aca="false">SUM(L10:T10)</f>
        <v>13200</v>
      </c>
      <c r="V10" s="13"/>
      <c r="W10" s="13"/>
      <c r="X10" s="13"/>
      <c r="Y10" s="13"/>
      <c r="Z10" s="13"/>
      <c r="AA10" s="13"/>
      <c r="AB10" s="13"/>
    </row>
    <row r="11" customFormat="false" ht="14.25" hidden="false" customHeight="false" outlineLevel="0" collapsed="false">
      <c r="A11" s="14" t="s">
        <v>8</v>
      </c>
      <c r="B11" s="12"/>
      <c r="C11" s="13"/>
      <c r="D11" s="13"/>
      <c r="E11" s="13"/>
      <c r="F11" s="13"/>
      <c r="G11" s="13"/>
      <c r="H11" s="13"/>
      <c r="I11" s="13" t="n">
        <f aca="false">-D10/24</f>
        <v>-550</v>
      </c>
      <c r="J11" s="13"/>
      <c r="K11" s="13"/>
      <c r="L11" s="12" t="n">
        <f aca="false">SUM(B11:K11)</f>
        <v>-550</v>
      </c>
      <c r="M11" s="13"/>
      <c r="N11" s="13"/>
      <c r="O11" s="13"/>
      <c r="P11" s="13"/>
      <c r="Q11" s="13"/>
      <c r="R11" s="13"/>
      <c r="S11" s="13"/>
      <c r="T11" s="13" t="n">
        <f aca="false">-D10/24</f>
        <v>-550</v>
      </c>
      <c r="U11" s="12" t="n">
        <f aca="false">SUM(L11:T11)</f>
        <v>-1100</v>
      </c>
      <c r="V11" s="13"/>
      <c r="W11" s="13"/>
      <c r="X11" s="13"/>
      <c r="Y11" s="13"/>
      <c r="Z11" s="13"/>
      <c r="AA11" s="13"/>
      <c r="AB11" s="13"/>
    </row>
    <row r="12" customFormat="false" ht="14.25" hidden="false" customHeight="false" outlineLevel="0" collapsed="false">
      <c r="A12" s="15"/>
      <c r="B12" s="12"/>
      <c r="C12" s="13"/>
      <c r="D12" s="13"/>
      <c r="E12" s="13"/>
      <c r="F12" s="13"/>
      <c r="G12" s="13"/>
      <c r="H12" s="13"/>
      <c r="I12" s="13"/>
      <c r="J12" s="13"/>
      <c r="K12" s="13"/>
      <c r="L12" s="12"/>
      <c r="M12" s="13"/>
      <c r="N12" s="13"/>
      <c r="O12" s="13"/>
      <c r="P12" s="13"/>
      <c r="Q12" s="13"/>
      <c r="R12" s="13"/>
      <c r="S12" s="13"/>
      <c r="T12" s="13"/>
      <c r="U12" s="12"/>
      <c r="V12" s="13"/>
      <c r="W12" s="13"/>
      <c r="X12" s="13"/>
      <c r="Y12" s="13"/>
      <c r="Z12" s="13"/>
      <c r="AA12" s="13"/>
      <c r="AB12" s="13"/>
    </row>
    <row r="13" customFormat="false" ht="14.25" hidden="false" customHeight="false" outlineLevel="0" collapsed="false">
      <c r="A13" s="15"/>
      <c r="B13" s="12"/>
      <c r="C13" s="13"/>
      <c r="D13" s="13"/>
      <c r="E13" s="13"/>
      <c r="F13" s="13"/>
      <c r="G13" s="13"/>
      <c r="H13" s="13"/>
      <c r="I13" s="13"/>
      <c r="J13" s="13"/>
      <c r="K13" s="13"/>
      <c r="L13" s="12"/>
      <c r="M13" s="13"/>
      <c r="N13" s="13"/>
      <c r="O13" s="13"/>
      <c r="P13" s="13"/>
      <c r="Q13" s="13"/>
      <c r="R13" s="13"/>
      <c r="S13" s="13"/>
      <c r="T13" s="13"/>
      <c r="U13" s="12"/>
      <c r="V13" s="13"/>
      <c r="W13" s="13"/>
      <c r="X13" s="13"/>
      <c r="Y13" s="13"/>
      <c r="Z13" s="13"/>
      <c r="AA13" s="13"/>
      <c r="AB13" s="13"/>
    </row>
    <row r="14" customFormat="false" ht="14.25" hidden="false" customHeight="false" outlineLevel="0" collapsed="false">
      <c r="A14" s="15"/>
      <c r="B14" s="12"/>
      <c r="C14" s="13"/>
      <c r="D14" s="13"/>
      <c r="E14" s="13"/>
      <c r="F14" s="13"/>
      <c r="G14" s="13"/>
      <c r="H14" s="13"/>
      <c r="I14" s="13"/>
      <c r="J14" s="13"/>
      <c r="K14" s="13"/>
      <c r="L14" s="12"/>
      <c r="M14" s="13"/>
      <c r="N14" s="13"/>
      <c r="O14" s="13"/>
      <c r="P14" s="13"/>
      <c r="Q14" s="13"/>
      <c r="R14" s="13"/>
      <c r="S14" s="13"/>
      <c r="T14" s="13"/>
      <c r="U14" s="12"/>
      <c r="V14" s="13"/>
      <c r="W14" s="13"/>
      <c r="X14" s="13"/>
      <c r="Y14" s="13"/>
      <c r="Z14" s="13"/>
      <c r="AA14" s="13"/>
      <c r="AB14" s="13"/>
    </row>
    <row r="15" s="3" customFormat="true" ht="14.25" hidden="false" customHeight="false" outlineLevel="0" collapsed="false">
      <c r="A15" s="16" t="s">
        <v>9</v>
      </c>
      <c r="B15" s="17" t="n">
        <f aca="false">SUM(B3:B14)</f>
        <v>80000</v>
      </c>
      <c r="C15" s="17" t="n">
        <f aca="false">SUM(C3:C14)</f>
        <v>50000</v>
      </c>
      <c r="D15" s="17" t="n">
        <f aca="false">SUM(D3:D14)</f>
        <v>1.81898940354586E-012</v>
      </c>
      <c r="E15" s="17" t="n">
        <f aca="false">SUM(E3:E14)</f>
        <v>0</v>
      </c>
      <c r="F15" s="17" t="n">
        <f aca="false">SUM(F3:F14)</f>
        <v>0</v>
      </c>
      <c r="G15" s="17" t="n">
        <f aca="false">SUM(G3:G14)</f>
        <v>76000</v>
      </c>
      <c r="H15" s="17" t="n">
        <f aca="false">SUM(H3:H14)</f>
        <v>-1000</v>
      </c>
      <c r="I15" s="17" t="n">
        <f aca="false">SUM(I3:I14)</f>
        <v>-2050</v>
      </c>
      <c r="J15" s="17" t="n">
        <f aca="false">SUM(J3:J14)</f>
        <v>0</v>
      </c>
      <c r="K15" s="17" t="n">
        <f aca="false">SUM(K3:K14)</f>
        <v>0</v>
      </c>
      <c r="L15" s="17" t="n">
        <f aca="false">SUM(L3:L14)</f>
        <v>202950</v>
      </c>
      <c r="M15" s="17" t="n">
        <f aca="false">SUM(M3:M14)</f>
        <v>-15406</v>
      </c>
      <c r="N15" s="17" t="n">
        <f aca="false">SUM(N3:N14)</f>
        <v>15000</v>
      </c>
      <c r="O15" s="17" t="n">
        <f aca="false">SUM(O3:O14)</f>
        <v>29000</v>
      </c>
      <c r="P15" s="17" t="n">
        <f aca="false">SUM(P3:P14)</f>
        <v>250</v>
      </c>
      <c r="Q15" s="17" t="n">
        <f aca="false">SUM(Q3:Q14)</f>
        <v>-1000</v>
      </c>
      <c r="R15" s="17" t="n">
        <f aca="false">SUM(R3:R14)</f>
        <v>-1200</v>
      </c>
      <c r="S15" s="17" t="n">
        <f aca="false">SUM(S3:S14)</f>
        <v>-51000</v>
      </c>
      <c r="T15" s="17" t="n">
        <f aca="false">SUM(T3:T14)</f>
        <v>-2050</v>
      </c>
      <c r="U15" s="17" t="n">
        <f aca="false">SUM(U3:U14)</f>
        <v>176544</v>
      </c>
      <c r="V15" s="13"/>
      <c r="W15" s="13"/>
      <c r="X15" s="13"/>
      <c r="Y15" s="13"/>
      <c r="Z15" s="13"/>
      <c r="AA15" s="13"/>
      <c r="AB15" s="13"/>
      <c r="AC15" s="1"/>
    </row>
    <row r="16" customFormat="false" ht="14.25" hidden="false" customHeight="false" outlineLevel="0" collapsed="false">
      <c r="A16" s="18" t="s">
        <v>10</v>
      </c>
      <c r="B16" s="12"/>
      <c r="C16" s="13"/>
      <c r="D16" s="13"/>
      <c r="E16" s="13"/>
      <c r="F16" s="13"/>
      <c r="G16" s="13"/>
      <c r="H16" s="13"/>
      <c r="I16" s="13"/>
      <c r="J16" s="13"/>
      <c r="K16" s="13"/>
      <c r="L16" s="12"/>
      <c r="M16" s="13"/>
      <c r="N16" s="13"/>
      <c r="O16" s="13"/>
      <c r="P16" s="13"/>
      <c r="Q16" s="13"/>
      <c r="R16" s="13"/>
      <c r="S16" s="13"/>
      <c r="T16" s="13"/>
      <c r="U16" s="12"/>
      <c r="V16" s="13"/>
      <c r="W16" s="13"/>
      <c r="X16" s="13"/>
      <c r="Y16" s="13"/>
      <c r="Z16" s="13"/>
      <c r="AA16" s="13"/>
      <c r="AB16" s="13"/>
    </row>
    <row r="17" customFormat="false" ht="14.25" hidden="false" customHeight="false" outlineLevel="0" collapsed="false">
      <c r="A17" s="11" t="s">
        <v>11</v>
      </c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2"/>
      <c r="M17" s="13"/>
      <c r="N17" s="13"/>
      <c r="O17" s="13"/>
      <c r="P17" s="13"/>
      <c r="Q17" s="13"/>
      <c r="R17" s="13"/>
      <c r="S17" s="13"/>
      <c r="T17" s="13"/>
      <c r="U17" s="12"/>
      <c r="V17" s="13"/>
      <c r="W17" s="13"/>
      <c r="X17" s="13"/>
      <c r="Y17" s="13"/>
      <c r="Z17" s="13"/>
      <c r="AA17" s="13"/>
      <c r="AB17" s="13"/>
    </row>
    <row r="18" customFormat="false" ht="14.25" hidden="false" customHeight="false" outlineLevel="0" collapsed="false">
      <c r="A18" s="14" t="s">
        <v>12</v>
      </c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2" t="n">
        <f aca="false">SUM(B18:K18)</f>
        <v>0</v>
      </c>
      <c r="M18" s="13"/>
      <c r="N18" s="13" t="n">
        <v>15000</v>
      </c>
      <c r="O18" s="13"/>
      <c r="P18" s="13"/>
      <c r="Q18" s="13"/>
      <c r="R18" s="13"/>
      <c r="S18" s="13"/>
      <c r="T18" s="13"/>
      <c r="U18" s="12" t="n">
        <f aca="false">SUM(L18:T18)</f>
        <v>15000</v>
      </c>
      <c r="V18" s="13"/>
      <c r="W18" s="13"/>
      <c r="X18" s="13"/>
      <c r="Y18" s="13"/>
      <c r="Z18" s="13"/>
      <c r="AA18" s="13"/>
      <c r="AB18" s="13"/>
    </row>
    <row r="19" customFormat="false" ht="14.25" hidden="false" customHeight="false" outlineLevel="0" collapsed="false">
      <c r="A19" s="14" t="s">
        <v>13</v>
      </c>
      <c r="B19" s="12"/>
      <c r="C19" s="13"/>
      <c r="D19" s="13"/>
      <c r="E19" s="13"/>
      <c r="F19" s="13"/>
      <c r="G19" s="13"/>
      <c r="H19" s="13" t="n">
        <v>1000</v>
      </c>
      <c r="I19" s="13"/>
      <c r="J19" s="13"/>
      <c r="K19" s="13"/>
      <c r="L19" s="12" t="n">
        <f aca="false">SUM(B19:K19)</f>
        <v>1000</v>
      </c>
      <c r="M19" s="13" t="n">
        <f aca="false">-L19</f>
        <v>-1000</v>
      </c>
      <c r="N19" s="13"/>
      <c r="O19" s="13"/>
      <c r="P19" s="13"/>
      <c r="Q19" s="13" t="n">
        <v>1000</v>
      </c>
      <c r="R19" s="13"/>
      <c r="S19" s="13"/>
      <c r="T19" s="13"/>
      <c r="U19" s="12" t="n">
        <f aca="false">SUM(L19:T19)</f>
        <v>1000</v>
      </c>
      <c r="V19" s="13"/>
      <c r="W19" s="13"/>
      <c r="X19" s="13"/>
      <c r="Y19" s="13"/>
      <c r="Z19" s="13"/>
      <c r="AA19" s="13"/>
      <c r="AB19" s="13"/>
    </row>
    <row r="20" customFormat="false" ht="14.25" hidden="false" customHeight="false" outlineLevel="0" collapsed="false">
      <c r="A20" s="14" t="s">
        <v>14</v>
      </c>
      <c r="B20" s="12"/>
      <c r="C20" s="13"/>
      <c r="D20" s="13"/>
      <c r="E20" s="13"/>
      <c r="F20" s="13"/>
      <c r="G20" s="13" t="n">
        <v>20000</v>
      </c>
      <c r="H20" s="13"/>
      <c r="I20" s="13"/>
      <c r="J20" s="13"/>
      <c r="K20" s="13"/>
      <c r="L20" s="12" t="n">
        <f aca="false">SUM(B20:K20)</f>
        <v>20000</v>
      </c>
      <c r="M20" s="13"/>
      <c r="N20" s="13"/>
      <c r="O20" s="13" t="n">
        <f aca="false">-L20</f>
        <v>-20000</v>
      </c>
      <c r="P20" s="13" t="n">
        <v>250</v>
      </c>
      <c r="Q20" s="13"/>
      <c r="R20" s="13"/>
      <c r="S20" s="13"/>
      <c r="T20" s="13"/>
      <c r="U20" s="12" t="n">
        <f aca="false">SUM(L20:T20)</f>
        <v>250</v>
      </c>
      <c r="V20" s="13"/>
      <c r="W20" s="13"/>
      <c r="X20" s="13"/>
      <c r="Y20" s="13"/>
      <c r="Z20" s="13"/>
      <c r="AA20" s="13"/>
      <c r="AB20" s="13"/>
    </row>
    <row r="21" customFormat="false" ht="14.25" hidden="false" customHeight="false" outlineLevel="0" collapsed="false">
      <c r="A21" s="14" t="s">
        <v>15</v>
      </c>
      <c r="B21" s="12"/>
      <c r="C21" s="13"/>
      <c r="D21" s="13"/>
      <c r="E21" s="13"/>
      <c r="F21" s="13"/>
      <c r="G21" s="13"/>
      <c r="H21" s="13"/>
      <c r="I21" s="13"/>
      <c r="J21" s="13" t="n">
        <f aca="false">-J44</f>
        <v>15435</v>
      </c>
      <c r="K21" s="13"/>
      <c r="L21" s="12" t="n">
        <f aca="false">SUM(B21:K21)</f>
        <v>15435</v>
      </c>
      <c r="M21" s="13"/>
      <c r="N21" s="13"/>
      <c r="O21" s="13"/>
      <c r="P21" s="13"/>
      <c r="Q21" s="13"/>
      <c r="R21" s="13"/>
      <c r="S21" s="13"/>
      <c r="T21" s="13" t="n">
        <f aca="false">-T44</f>
        <v>12975</v>
      </c>
      <c r="U21" s="12" t="n">
        <f aca="false">SUM(L21:T21)</f>
        <v>28410</v>
      </c>
      <c r="V21" s="13"/>
      <c r="W21" s="13"/>
      <c r="X21" s="13"/>
      <c r="Y21" s="13"/>
      <c r="Z21" s="13"/>
      <c r="AA21" s="13"/>
      <c r="AB21" s="13"/>
    </row>
    <row r="22" customFormat="false" ht="14.25" hidden="false" customHeight="false" outlineLevel="0" collapsed="false">
      <c r="A22" s="14" t="s">
        <v>16</v>
      </c>
      <c r="B22" s="12"/>
      <c r="C22" s="13"/>
      <c r="D22" s="13"/>
      <c r="E22" s="13"/>
      <c r="F22" s="13"/>
      <c r="G22" s="13"/>
      <c r="H22" s="13"/>
      <c r="I22" s="13"/>
      <c r="J22" s="13"/>
      <c r="K22" s="13" t="n">
        <f aca="false">0.4*L45</f>
        <v>14406</v>
      </c>
      <c r="L22" s="12" t="n">
        <f aca="false">SUM(B22:K22)</f>
        <v>14406</v>
      </c>
      <c r="M22" s="13" t="n">
        <f aca="false">-L22</f>
        <v>-14406</v>
      </c>
      <c r="N22" s="13"/>
      <c r="O22" s="13"/>
      <c r="P22" s="13"/>
      <c r="Q22" s="13"/>
      <c r="R22" s="13"/>
      <c r="S22" s="13"/>
      <c r="T22" s="13"/>
      <c r="U22" s="12" t="n">
        <f aca="false">SUM(L22:T22)</f>
        <v>0</v>
      </c>
    </row>
    <row r="23" customFormat="false" ht="14.25" hidden="false" customHeight="false" outlineLevel="0" collapsed="false">
      <c r="A23" s="11" t="s">
        <v>17</v>
      </c>
      <c r="B23" s="12"/>
      <c r="C23" s="13"/>
      <c r="D23" s="13"/>
      <c r="E23" s="13"/>
      <c r="F23" s="13"/>
      <c r="G23" s="13"/>
      <c r="H23" s="13"/>
      <c r="I23" s="13"/>
      <c r="J23" s="13"/>
      <c r="K23" s="13"/>
      <c r="L23" s="12"/>
      <c r="M23" s="13"/>
      <c r="N23" s="13"/>
      <c r="O23" s="13"/>
      <c r="P23" s="13"/>
      <c r="Q23" s="13"/>
      <c r="R23" s="13"/>
      <c r="S23" s="13"/>
      <c r="T23" s="13"/>
      <c r="U23" s="12"/>
      <c r="V23" s="13"/>
      <c r="W23" s="13"/>
      <c r="X23" s="13"/>
      <c r="Y23" s="13"/>
      <c r="Z23" s="13"/>
      <c r="AA23" s="13"/>
      <c r="AB23" s="13"/>
    </row>
    <row r="24" customFormat="false" ht="14.25" hidden="false" customHeight="false" outlineLevel="0" collapsed="false">
      <c r="A24" s="14" t="s">
        <v>18</v>
      </c>
      <c r="B24" s="12"/>
      <c r="C24" s="13" t="n">
        <v>50000</v>
      </c>
      <c r="D24" s="13"/>
      <c r="E24" s="13"/>
      <c r="F24" s="13"/>
      <c r="G24" s="13"/>
      <c r="H24" s="13"/>
      <c r="I24" s="13"/>
      <c r="J24" s="13"/>
      <c r="K24" s="13"/>
      <c r="L24" s="12" t="n">
        <f aca="false">SUM(B24:K24)</f>
        <v>50000</v>
      </c>
      <c r="M24" s="13"/>
      <c r="N24" s="13"/>
      <c r="O24" s="13"/>
      <c r="P24" s="13"/>
      <c r="Q24" s="13"/>
      <c r="R24" s="13"/>
      <c r="S24" s="13" t="n">
        <f aca="false">-L24</f>
        <v>-50000</v>
      </c>
      <c r="T24" s="13"/>
      <c r="U24" s="12" t="n">
        <f aca="false">SUM(L24:T24)</f>
        <v>0</v>
      </c>
      <c r="V24" s="13"/>
      <c r="W24" s="13"/>
      <c r="X24" s="13"/>
      <c r="Y24" s="13"/>
      <c r="Z24" s="13"/>
      <c r="AA24" s="13"/>
      <c r="AB24" s="13"/>
    </row>
    <row r="25" customFormat="false" ht="14.25" hidden="false" customHeight="false" outlineLevel="0" collapsed="false">
      <c r="A25" s="14" t="s">
        <v>19</v>
      </c>
      <c r="B25" s="12"/>
      <c r="C25" s="13"/>
      <c r="D25" s="13"/>
      <c r="E25" s="13"/>
      <c r="F25" s="13"/>
      <c r="G25" s="13"/>
      <c r="H25" s="13"/>
      <c r="I25" s="13" t="n">
        <f aca="false">0.01*50000</f>
        <v>500</v>
      </c>
      <c r="J25" s="13"/>
      <c r="K25" s="13"/>
      <c r="L25" s="12" t="n">
        <f aca="false">SUM(B25:K25)</f>
        <v>500</v>
      </c>
      <c r="M25" s="13"/>
      <c r="N25" s="13"/>
      <c r="O25" s="13"/>
      <c r="P25" s="13"/>
      <c r="Q25" s="13"/>
      <c r="R25" s="13"/>
      <c r="S25" s="13" t="n">
        <f aca="false">-L25</f>
        <v>-500</v>
      </c>
      <c r="T25" s="13"/>
      <c r="U25" s="12" t="n">
        <f aca="false">SUM(L25:T25)</f>
        <v>0</v>
      </c>
      <c r="V25" s="13"/>
      <c r="W25" s="13"/>
      <c r="X25" s="13"/>
      <c r="Y25" s="13"/>
      <c r="Z25" s="13"/>
      <c r="AA25" s="13"/>
      <c r="AB25" s="13"/>
    </row>
    <row r="26" customFormat="false" ht="14.25" hidden="false" customHeight="false" outlineLevel="0" collapsed="false">
      <c r="A26" s="11" t="s">
        <v>20</v>
      </c>
      <c r="B26" s="12"/>
      <c r="C26" s="13"/>
      <c r="D26" s="13"/>
      <c r="E26" s="13"/>
      <c r="F26" s="13"/>
      <c r="G26" s="13"/>
      <c r="H26" s="13"/>
      <c r="I26" s="13"/>
      <c r="J26" s="13"/>
      <c r="K26" s="13"/>
      <c r="L26" s="12"/>
      <c r="M26" s="13"/>
      <c r="N26" s="13"/>
      <c r="O26" s="13"/>
      <c r="P26" s="13"/>
      <c r="Q26" s="13"/>
      <c r="R26" s="13"/>
      <c r="S26" s="13"/>
      <c r="T26" s="13"/>
      <c r="U26" s="12"/>
      <c r="V26" s="13"/>
      <c r="W26" s="13"/>
      <c r="X26" s="13"/>
      <c r="Y26" s="13"/>
      <c r="Z26" s="13"/>
      <c r="AA26" s="13"/>
      <c r="AB26" s="13"/>
    </row>
    <row r="27" customFormat="false" ht="14.25" hidden="false" customHeight="false" outlineLevel="0" collapsed="false">
      <c r="A27" s="14" t="s">
        <v>21</v>
      </c>
      <c r="B27" s="12" t="n">
        <f aca="false">2*40000</f>
        <v>80000</v>
      </c>
      <c r="C27" s="13"/>
      <c r="D27" s="13"/>
      <c r="E27" s="13"/>
      <c r="F27" s="13"/>
      <c r="G27" s="13"/>
      <c r="H27" s="13"/>
      <c r="I27" s="13"/>
      <c r="J27" s="13"/>
      <c r="K27" s="13"/>
      <c r="L27" s="12" t="n">
        <f aca="false">SUM(B27:K27)</f>
        <v>80000</v>
      </c>
      <c r="M27" s="13"/>
      <c r="N27" s="13"/>
      <c r="O27" s="13"/>
      <c r="P27" s="13"/>
      <c r="Q27" s="13"/>
      <c r="R27" s="13"/>
      <c r="S27" s="13"/>
      <c r="T27" s="13"/>
      <c r="U27" s="12" t="n">
        <f aca="false">SUM(L27:T27)</f>
        <v>80000</v>
      </c>
      <c r="V27" s="13"/>
      <c r="W27" s="13"/>
      <c r="X27" s="13"/>
      <c r="Y27" s="13"/>
      <c r="Z27" s="13"/>
      <c r="AA27" s="13"/>
      <c r="AB27" s="13"/>
    </row>
    <row r="28" customFormat="false" ht="14.25" hidden="false" customHeight="false" outlineLevel="0" collapsed="false">
      <c r="A28" s="14" t="s">
        <v>22</v>
      </c>
      <c r="B28" s="12"/>
      <c r="C28" s="13"/>
      <c r="D28" s="13"/>
      <c r="E28" s="13"/>
      <c r="F28" s="13"/>
      <c r="G28" s="13" t="n">
        <f aca="false">G34+G35</f>
        <v>56000</v>
      </c>
      <c r="H28" s="13" t="n">
        <f aca="false">H38</f>
        <v>-2000</v>
      </c>
      <c r="I28" s="13" t="n">
        <f aca="false">I39+I42</f>
        <v>-2550</v>
      </c>
      <c r="J28" s="13" t="n">
        <f aca="false">J44</f>
        <v>-15435</v>
      </c>
      <c r="K28" s="13" t="n">
        <f aca="false">-K22</f>
        <v>-14406</v>
      </c>
      <c r="L28" s="12" t="n">
        <f aca="false">SUM(B28:K28)</f>
        <v>21609</v>
      </c>
      <c r="M28" s="13"/>
      <c r="N28" s="13"/>
      <c r="O28" s="13" t="n">
        <f aca="false">O34+O35</f>
        <v>49000</v>
      </c>
      <c r="P28" s="13"/>
      <c r="Q28" s="13" t="n">
        <f aca="false">Q38</f>
        <v>-2000</v>
      </c>
      <c r="R28" s="13" t="n">
        <f aca="false">R38</f>
        <v>-1200</v>
      </c>
      <c r="S28" s="13" t="n">
        <f aca="false">S42</f>
        <v>-500</v>
      </c>
      <c r="T28" s="13" t="n">
        <f aca="false">T39+T44</f>
        <v>-15025</v>
      </c>
      <c r="U28" s="12" t="n">
        <f aca="false">SUM(L28:T28)</f>
        <v>51884</v>
      </c>
      <c r="V28" s="13"/>
      <c r="W28" s="13"/>
      <c r="X28" s="13"/>
      <c r="Y28" s="13"/>
      <c r="Z28" s="13"/>
      <c r="AA28" s="13"/>
      <c r="AB28" s="13"/>
    </row>
    <row r="29" customFormat="false" ht="14.25" hidden="false" customHeight="false" outlineLevel="0" collapsed="false">
      <c r="A29" s="16" t="s">
        <v>23</v>
      </c>
      <c r="B29" s="17" t="n">
        <f aca="false">SUM(B17:B28)</f>
        <v>80000</v>
      </c>
      <c r="C29" s="17" t="n">
        <f aca="false">SUM(C17:C28)</f>
        <v>50000</v>
      </c>
      <c r="D29" s="17" t="n">
        <f aca="false">SUM(D17:D28)</f>
        <v>0</v>
      </c>
      <c r="E29" s="17" t="n">
        <f aca="false">SUM(E17:E28)</f>
        <v>0</v>
      </c>
      <c r="F29" s="17" t="n">
        <f aca="false">SUM(F17:F28)</f>
        <v>0</v>
      </c>
      <c r="G29" s="17" t="n">
        <f aca="false">SUM(G17:G28)</f>
        <v>76000</v>
      </c>
      <c r="H29" s="17" t="n">
        <f aca="false">SUM(H17:H28)</f>
        <v>-1000</v>
      </c>
      <c r="I29" s="17" t="n">
        <f aca="false">SUM(I17:I28)</f>
        <v>-2050</v>
      </c>
      <c r="J29" s="17" t="n">
        <f aca="false">SUM(J17:J28)</f>
        <v>0</v>
      </c>
      <c r="K29" s="17" t="n">
        <f aca="false">SUM(K17:K28)</f>
        <v>0</v>
      </c>
      <c r="L29" s="17" t="n">
        <f aca="false">SUM(L17:L28)</f>
        <v>202950</v>
      </c>
      <c r="M29" s="17" t="n">
        <f aca="false">SUM(M17:M28)</f>
        <v>-15406</v>
      </c>
      <c r="N29" s="17" t="n">
        <f aca="false">SUM(N17:N28)</f>
        <v>15000</v>
      </c>
      <c r="O29" s="17" t="n">
        <f aca="false">SUM(O17:O28)</f>
        <v>29000</v>
      </c>
      <c r="P29" s="17" t="n">
        <f aca="false">SUM(P17:P28)</f>
        <v>250</v>
      </c>
      <c r="Q29" s="17" t="n">
        <f aca="false">SUM(Q17:Q28)</f>
        <v>-1000</v>
      </c>
      <c r="R29" s="17" t="n">
        <f aca="false">SUM(R17:R28)</f>
        <v>-1200</v>
      </c>
      <c r="S29" s="17" t="n">
        <f aca="false">SUM(S17:S28)</f>
        <v>-51000</v>
      </c>
      <c r="T29" s="17" t="n">
        <f aca="false">SUM(T17:T28)</f>
        <v>-2050</v>
      </c>
      <c r="U29" s="17" t="n">
        <f aca="false">SUM(U17:U28)</f>
        <v>176544</v>
      </c>
      <c r="V29" s="13"/>
      <c r="W29" s="13"/>
      <c r="X29" s="13"/>
      <c r="Y29" s="13"/>
      <c r="Z29" s="13"/>
      <c r="AA29" s="13"/>
      <c r="AB29" s="13"/>
    </row>
    <row r="30" s="19" customFormat="true" ht="14.25" hidden="false" customHeight="false" outlineLevel="0" collapsed="false"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customFormat="false" ht="14.25" hidden="false" customHeight="false" outlineLevel="0" collapsed="false">
      <c r="A31" s="20" t="s">
        <v>24</v>
      </c>
      <c r="B31" s="21" t="n">
        <f aca="false">B29-B15</f>
        <v>0</v>
      </c>
      <c r="C31" s="21" t="n">
        <f aca="false">C29-C15</f>
        <v>0</v>
      </c>
      <c r="D31" s="21" t="n">
        <f aca="false">D29-D15</f>
        <v>-1.81898940354586E-012</v>
      </c>
      <c r="E31" s="21" t="n">
        <f aca="false">E29-E15</f>
        <v>0</v>
      </c>
      <c r="F31" s="21" t="n">
        <f aca="false">F29-F15</f>
        <v>0</v>
      </c>
      <c r="G31" s="21" t="n">
        <f aca="false">G29-G15</f>
        <v>0</v>
      </c>
      <c r="H31" s="21" t="n">
        <f aca="false">H29-H15</f>
        <v>0</v>
      </c>
      <c r="I31" s="21" t="n">
        <f aca="false">I29-I15</f>
        <v>0</v>
      </c>
      <c r="J31" s="21" t="n">
        <f aca="false">J29-J15</f>
        <v>0</v>
      </c>
      <c r="K31" s="21" t="n">
        <f aca="false">K29-K15</f>
        <v>0</v>
      </c>
      <c r="L31" s="21" t="n">
        <f aca="false">L29-L15</f>
        <v>0</v>
      </c>
      <c r="M31" s="21" t="n">
        <f aca="false">M29-M15</f>
        <v>0</v>
      </c>
      <c r="N31" s="21" t="n">
        <f aca="false">N29-N15</f>
        <v>0</v>
      </c>
      <c r="O31" s="21" t="n">
        <f aca="false">O29-O15</f>
        <v>0</v>
      </c>
      <c r="P31" s="21" t="n">
        <f aca="false">P29-P15</f>
        <v>0</v>
      </c>
      <c r="Q31" s="21" t="n">
        <f aca="false">Q29-Q15</f>
        <v>0</v>
      </c>
      <c r="R31" s="21" t="n">
        <f aca="false">R29-R15</f>
        <v>0</v>
      </c>
      <c r="S31" s="21" t="n">
        <f aca="false">S29-S15</f>
        <v>0</v>
      </c>
      <c r="T31" s="21" t="n">
        <f aca="false">T29-T15</f>
        <v>0</v>
      </c>
      <c r="U31" s="21" t="n">
        <f aca="false">U29-U15</f>
        <v>0</v>
      </c>
      <c r="V31" s="22"/>
      <c r="W31" s="22"/>
      <c r="X31" s="22"/>
      <c r="Y31" s="22"/>
      <c r="Z31" s="22"/>
      <c r="AA31" s="22"/>
      <c r="AB31" s="22"/>
      <c r="AC31" s="23"/>
    </row>
    <row r="32" customFormat="false" ht="14.25" hidden="false" customHeight="false" outlineLevel="0" collapsed="false"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customFormat="false" ht="14.25" hidden="false" customHeight="false" outlineLevel="0" collapsed="false">
      <c r="A33" s="24" t="s">
        <v>25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6" t="s">
        <v>26</v>
      </c>
      <c r="M33" s="25"/>
      <c r="N33" s="25"/>
      <c r="O33" s="25"/>
      <c r="P33" s="25"/>
      <c r="Q33" s="25"/>
      <c r="R33" s="25"/>
      <c r="S33" s="25"/>
      <c r="T33" s="25"/>
      <c r="U33" s="26" t="s">
        <v>27</v>
      </c>
      <c r="V33" s="13"/>
      <c r="W33" s="13"/>
      <c r="X33" s="13"/>
      <c r="Y33" s="13"/>
      <c r="Z33" s="13"/>
      <c r="AA33" s="13"/>
      <c r="AB33" s="13"/>
    </row>
    <row r="34" customFormat="false" ht="14.25" hidden="false" customHeight="false" outlineLevel="0" collapsed="false">
      <c r="A34" s="27" t="s">
        <v>28</v>
      </c>
      <c r="B34" s="13"/>
      <c r="C34" s="13"/>
      <c r="D34" s="13"/>
      <c r="E34" s="13"/>
      <c r="F34" s="13"/>
      <c r="G34" s="13" t="n">
        <v>152000</v>
      </c>
      <c r="H34" s="13"/>
      <c r="I34" s="13"/>
      <c r="J34" s="13"/>
      <c r="K34" s="13"/>
      <c r="L34" s="28" t="n">
        <f aca="false">SUM(C34:K34)</f>
        <v>152000</v>
      </c>
      <c r="M34" s="13"/>
      <c r="N34" s="13"/>
      <c r="O34" s="13" t="n">
        <f aca="false">180000+20000</f>
        <v>200000</v>
      </c>
      <c r="P34" s="13"/>
      <c r="Q34" s="13"/>
      <c r="R34" s="13"/>
      <c r="S34" s="13"/>
      <c r="T34" s="13"/>
      <c r="U34" s="28" t="n">
        <f aca="false">SUM(M34:T34)</f>
        <v>200000</v>
      </c>
      <c r="V34" s="13"/>
      <c r="W34" s="13"/>
      <c r="X34" s="13"/>
      <c r="Y34" s="13"/>
      <c r="Z34" s="13"/>
      <c r="AA34" s="13"/>
      <c r="AB34" s="13"/>
    </row>
    <row r="35" customFormat="false" ht="14.25" hidden="false" customHeight="false" outlineLevel="0" collapsed="false">
      <c r="A35" s="27" t="s">
        <v>29</v>
      </c>
      <c r="B35" s="13"/>
      <c r="C35" s="13"/>
      <c r="D35" s="13"/>
      <c r="E35" s="13"/>
      <c r="F35" s="13"/>
      <c r="G35" s="13" t="n">
        <f aca="false">-(100000-4000)</f>
        <v>-96000</v>
      </c>
      <c r="H35" s="13"/>
      <c r="I35" s="13"/>
      <c r="J35" s="13"/>
      <c r="K35" s="13"/>
      <c r="L35" s="28" t="n">
        <f aca="false">SUM(C35:K35)</f>
        <v>-96000</v>
      </c>
      <c r="M35" s="13"/>
      <c r="N35" s="13"/>
      <c r="O35" s="13" t="n">
        <f aca="false">O6</f>
        <v>-151000</v>
      </c>
      <c r="P35" s="13"/>
      <c r="Q35" s="13"/>
      <c r="R35" s="13"/>
      <c r="S35" s="13"/>
      <c r="T35" s="13"/>
      <c r="U35" s="28" t="n">
        <f aca="false">SUM(M35:T35)</f>
        <v>-151000</v>
      </c>
      <c r="V35" s="13"/>
      <c r="W35" s="13"/>
      <c r="X35" s="13"/>
      <c r="Y35" s="13"/>
      <c r="Z35" s="13"/>
      <c r="AA35" s="13"/>
      <c r="AB35" s="13"/>
    </row>
    <row r="36" customFormat="false" ht="14.25" hidden="false" customHeight="false" outlineLevel="0" collapsed="false">
      <c r="A36" s="29" t="s">
        <v>30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28" t="n">
        <f aca="false">L34+L35</f>
        <v>56000</v>
      </c>
      <c r="M36" s="13"/>
      <c r="N36" s="13"/>
      <c r="O36" s="13"/>
      <c r="P36" s="13"/>
      <c r="Q36" s="13"/>
      <c r="R36" s="13"/>
      <c r="S36" s="13"/>
      <c r="T36" s="13"/>
      <c r="U36" s="28" t="n">
        <f aca="false">U34+U35</f>
        <v>49000</v>
      </c>
      <c r="V36" s="13"/>
      <c r="W36" s="13"/>
      <c r="X36" s="13"/>
      <c r="Y36" s="13"/>
      <c r="Z36" s="13"/>
      <c r="AA36" s="13"/>
      <c r="AB36" s="13"/>
    </row>
    <row r="37" customFormat="false" ht="14.25" hidden="false" customHeight="false" outlineLevel="0" collapsed="false">
      <c r="A37" s="30" t="s">
        <v>31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28" t="n">
        <f aca="false">SUM(L38:L40)</f>
        <v>-4050</v>
      </c>
      <c r="M37" s="13"/>
      <c r="N37" s="13"/>
      <c r="O37" s="13"/>
      <c r="P37" s="13"/>
      <c r="Q37" s="13"/>
      <c r="R37" s="13"/>
      <c r="S37" s="13"/>
      <c r="T37" s="13"/>
      <c r="U37" s="28" t="n">
        <f aca="false">SUM(U38:U40)</f>
        <v>-5250</v>
      </c>
      <c r="V37" s="13"/>
      <c r="W37" s="13"/>
      <c r="X37" s="13"/>
      <c r="Y37" s="13"/>
      <c r="Z37" s="13"/>
      <c r="AA37" s="13"/>
      <c r="AB37" s="13"/>
    </row>
    <row r="38" customFormat="false" ht="14.25" hidden="false" customHeight="false" outlineLevel="0" collapsed="false">
      <c r="A38" s="27" t="s">
        <v>32</v>
      </c>
      <c r="B38" s="13"/>
      <c r="C38" s="13"/>
      <c r="D38" s="13"/>
      <c r="E38" s="13"/>
      <c r="F38" s="13"/>
      <c r="G38" s="13"/>
      <c r="H38" s="13" t="n">
        <v>-2000</v>
      </c>
      <c r="I38" s="13"/>
      <c r="J38" s="13"/>
      <c r="K38" s="13"/>
      <c r="L38" s="28" t="n">
        <f aca="false">SUM(C38:K38)</f>
        <v>-2000</v>
      </c>
      <c r="M38" s="13"/>
      <c r="N38" s="13"/>
      <c r="O38" s="13"/>
      <c r="P38" s="13"/>
      <c r="Q38" s="13" t="n">
        <v>-2000</v>
      </c>
      <c r="R38" s="13" t="n">
        <v>-1200</v>
      </c>
      <c r="S38" s="13"/>
      <c r="T38" s="13"/>
      <c r="U38" s="28" t="n">
        <f aca="false">SUM(M38:T38)</f>
        <v>-3200</v>
      </c>
      <c r="V38" s="13"/>
      <c r="W38" s="13"/>
      <c r="X38" s="13"/>
      <c r="Y38" s="13"/>
      <c r="Z38" s="13"/>
      <c r="AA38" s="13"/>
      <c r="AB38" s="13"/>
    </row>
    <row r="39" customFormat="false" ht="14.25" hidden="false" customHeight="false" outlineLevel="0" collapsed="false">
      <c r="A39" s="27" t="s">
        <v>33</v>
      </c>
      <c r="B39" s="13"/>
      <c r="C39" s="13"/>
      <c r="D39" s="13"/>
      <c r="E39" s="13"/>
      <c r="F39" s="13"/>
      <c r="G39" s="13"/>
      <c r="H39" s="13"/>
      <c r="I39" s="13" t="n">
        <f aca="false">-9000/6-D10/24</f>
        <v>-2050</v>
      </c>
      <c r="J39" s="13"/>
      <c r="K39" s="13"/>
      <c r="L39" s="28" t="n">
        <f aca="false">SUM(C39:K39)</f>
        <v>-2050</v>
      </c>
      <c r="M39" s="13"/>
      <c r="N39" s="13"/>
      <c r="O39" s="13"/>
      <c r="P39" s="13"/>
      <c r="Q39" s="13"/>
      <c r="R39" s="13"/>
      <c r="S39" s="13"/>
      <c r="T39" s="13" t="n">
        <f aca="false">-9000/6-D10/24</f>
        <v>-2050</v>
      </c>
      <c r="U39" s="28" t="n">
        <f aca="false">SUM(M39:T39)</f>
        <v>-2050</v>
      </c>
      <c r="V39" s="13"/>
      <c r="W39" s="13"/>
      <c r="X39" s="13"/>
      <c r="Y39" s="13"/>
      <c r="Z39" s="13"/>
      <c r="AA39" s="13"/>
      <c r="AB39" s="13"/>
    </row>
    <row r="40" customFormat="false" ht="14.25" hidden="false" customHeight="false" outlineLevel="0" collapsed="false">
      <c r="A40" s="27" t="s">
        <v>34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28" t="n">
        <f aca="false">SUM(C40:K40)</f>
        <v>0</v>
      </c>
      <c r="M40" s="13"/>
      <c r="N40" s="13"/>
      <c r="O40" s="13"/>
      <c r="P40" s="13"/>
      <c r="Q40" s="13"/>
      <c r="R40" s="13"/>
      <c r="S40" s="13"/>
      <c r="T40" s="13"/>
      <c r="U40" s="28" t="n">
        <f aca="false">SUM(M40:T40)</f>
        <v>0</v>
      </c>
      <c r="V40" s="13"/>
      <c r="W40" s="13"/>
      <c r="X40" s="13"/>
      <c r="Y40" s="13"/>
      <c r="Z40" s="13"/>
      <c r="AA40" s="13"/>
      <c r="AB40" s="13"/>
    </row>
    <row r="41" customFormat="false" ht="14.25" hidden="false" customHeight="false" outlineLevel="0" collapsed="false">
      <c r="A41" s="29" t="s">
        <v>35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28" t="n">
        <f aca="false">L36+L37</f>
        <v>51950</v>
      </c>
      <c r="M41" s="13"/>
      <c r="N41" s="13"/>
      <c r="O41" s="13"/>
      <c r="P41" s="13"/>
      <c r="Q41" s="13"/>
      <c r="R41" s="13"/>
      <c r="S41" s="13"/>
      <c r="T41" s="13"/>
      <c r="U41" s="28" t="n">
        <f aca="false">U36+U37</f>
        <v>43750</v>
      </c>
      <c r="V41" s="13"/>
      <c r="W41" s="13"/>
      <c r="X41" s="13"/>
      <c r="Y41" s="13"/>
      <c r="Z41" s="13"/>
      <c r="AA41" s="13"/>
      <c r="AB41" s="13"/>
    </row>
    <row r="42" customFormat="false" ht="14.25" hidden="false" customHeight="false" outlineLevel="0" collapsed="false">
      <c r="A42" s="27" t="s">
        <v>36</v>
      </c>
      <c r="B42" s="13"/>
      <c r="C42" s="13"/>
      <c r="D42" s="13"/>
      <c r="E42" s="13"/>
      <c r="F42" s="13"/>
      <c r="G42" s="13"/>
      <c r="H42" s="13"/>
      <c r="I42" s="13" t="n">
        <f aca="false">-0.01*50000</f>
        <v>-500</v>
      </c>
      <c r="J42" s="13"/>
      <c r="K42" s="13"/>
      <c r="L42" s="28" t="n">
        <f aca="false">SUM(C42:K42)</f>
        <v>-500</v>
      </c>
      <c r="M42" s="13"/>
      <c r="N42" s="13"/>
      <c r="O42" s="13"/>
      <c r="P42" s="13"/>
      <c r="Q42" s="13"/>
      <c r="R42" s="13"/>
      <c r="S42" s="13" t="n">
        <f aca="false">-0.01*50000</f>
        <v>-500</v>
      </c>
      <c r="T42" s="13"/>
      <c r="U42" s="28" t="n">
        <f aca="false">SUM(M42:T42)</f>
        <v>-500</v>
      </c>
      <c r="V42" s="13"/>
      <c r="W42" s="13"/>
      <c r="X42" s="13"/>
      <c r="Y42" s="13"/>
      <c r="Z42" s="13"/>
      <c r="AA42" s="13"/>
      <c r="AB42" s="13"/>
    </row>
    <row r="43" customFormat="false" ht="14.25" hidden="false" customHeight="false" outlineLevel="0" collapsed="false">
      <c r="A43" s="29" t="s">
        <v>37</v>
      </c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28" t="n">
        <f aca="false">L41+L42</f>
        <v>51450</v>
      </c>
      <c r="M43" s="13"/>
      <c r="N43" s="13"/>
      <c r="O43" s="13"/>
      <c r="P43" s="13"/>
      <c r="Q43" s="13"/>
      <c r="R43" s="13"/>
      <c r="S43" s="13"/>
      <c r="T43" s="13"/>
      <c r="U43" s="28" t="n">
        <f aca="false">U41+U42</f>
        <v>43250</v>
      </c>
      <c r="V43" s="13"/>
      <c r="W43" s="13"/>
      <c r="X43" s="13"/>
      <c r="Y43" s="13"/>
      <c r="Z43" s="13"/>
      <c r="AA43" s="13"/>
      <c r="AB43" s="13"/>
    </row>
    <row r="44" customFormat="false" ht="14.25" hidden="false" customHeight="false" outlineLevel="0" collapsed="false">
      <c r="A44" s="27" t="s">
        <v>38</v>
      </c>
      <c r="B44" s="13"/>
      <c r="C44" s="13"/>
      <c r="D44" s="13"/>
      <c r="E44" s="13"/>
      <c r="F44" s="13"/>
      <c r="G44" s="13"/>
      <c r="H44" s="13"/>
      <c r="I44" s="13"/>
      <c r="J44" s="13" t="n">
        <f aca="false">-0.3*L43</f>
        <v>-15435</v>
      </c>
      <c r="K44" s="13"/>
      <c r="L44" s="28" t="n">
        <f aca="false">SUM(C44:K44)</f>
        <v>-15435</v>
      </c>
      <c r="M44" s="13"/>
      <c r="N44" s="13"/>
      <c r="O44" s="13"/>
      <c r="P44" s="13"/>
      <c r="Q44" s="13"/>
      <c r="R44" s="13"/>
      <c r="S44" s="13"/>
      <c r="T44" s="13" t="n">
        <f aca="false">-0.3*U43</f>
        <v>-12975</v>
      </c>
      <c r="U44" s="28" t="n">
        <f aca="false">SUM(M44:T44)</f>
        <v>-12975</v>
      </c>
      <c r="V44" s="13"/>
      <c r="W44" s="13"/>
      <c r="X44" s="13"/>
      <c r="Y44" s="13"/>
      <c r="Z44" s="13"/>
      <c r="AA44" s="13"/>
      <c r="AB44" s="13"/>
    </row>
    <row r="45" customFormat="false" ht="14.25" hidden="false" customHeight="false" outlineLevel="0" collapsed="false">
      <c r="A45" s="16" t="s">
        <v>39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 t="n">
        <f aca="false">L43+L44</f>
        <v>36015</v>
      </c>
      <c r="M45" s="17"/>
      <c r="N45" s="17"/>
      <c r="O45" s="17"/>
      <c r="P45" s="17"/>
      <c r="Q45" s="17"/>
      <c r="R45" s="17"/>
      <c r="S45" s="17"/>
      <c r="T45" s="17"/>
      <c r="U45" s="17" t="n">
        <f aca="false">U43+U44</f>
        <v>30275</v>
      </c>
      <c r="V45" s="13"/>
      <c r="W45" s="13"/>
      <c r="X45" s="13"/>
      <c r="Y45" s="13"/>
      <c r="Z45" s="13"/>
      <c r="AA45" s="13"/>
      <c r="AB45" s="13"/>
    </row>
    <row r="48" customFormat="false" ht="14.25" hidden="false" customHeight="false" outlineLevel="0" collapsed="false">
      <c r="A48" s="24" t="s">
        <v>40</v>
      </c>
      <c r="B48" s="31"/>
      <c r="C48" s="31"/>
      <c r="D48" s="31"/>
      <c r="E48" s="31"/>
      <c r="F48" s="31"/>
      <c r="G48" s="31"/>
      <c r="H48" s="31"/>
      <c r="I48" s="31"/>
      <c r="J48" s="31"/>
      <c r="K48" s="32"/>
      <c r="L48" s="26" t="s">
        <v>26</v>
      </c>
      <c r="M48" s="25"/>
      <c r="N48" s="25"/>
      <c r="O48" s="25"/>
      <c r="P48" s="25"/>
      <c r="Q48" s="25"/>
      <c r="R48" s="25"/>
      <c r="S48" s="25"/>
      <c r="T48" s="25"/>
      <c r="U48" s="26" t="s">
        <v>27</v>
      </c>
    </row>
    <row r="49" customFormat="false" ht="14.25" hidden="false" customHeight="false" outlineLevel="0" collapsed="false">
      <c r="A49" s="33" t="s">
        <v>41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34"/>
      <c r="M49" s="13"/>
      <c r="N49" s="13"/>
      <c r="O49" s="13"/>
      <c r="P49" s="13"/>
      <c r="Q49" s="13"/>
      <c r="R49" s="13"/>
      <c r="S49" s="13"/>
      <c r="T49" s="13"/>
      <c r="U49" s="34"/>
    </row>
    <row r="50" customFormat="false" ht="14.25" hidden="false" customHeight="false" outlineLevel="0" collapsed="false">
      <c r="A50" s="35" t="s">
        <v>42</v>
      </c>
      <c r="B50" s="13"/>
      <c r="C50" s="13"/>
      <c r="D50" s="13"/>
      <c r="E50" s="13"/>
      <c r="F50" s="13"/>
      <c r="G50" s="13" t="n">
        <f aca="false">102000+20000</f>
        <v>122000</v>
      </c>
      <c r="H50" s="13"/>
      <c r="I50" s="13"/>
      <c r="J50" s="13"/>
      <c r="K50" s="13"/>
      <c r="L50" s="34" t="n">
        <f aca="false">SUM(C50:K50)</f>
        <v>122000</v>
      </c>
      <c r="M50" s="13" t="n">
        <f aca="false">L5</f>
        <v>50000</v>
      </c>
      <c r="N50" s="13"/>
      <c r="O50" s="13" t="n">
        <f aca="false">180000-24000</f>
        <v>156000</v>
      </c>
      <c r="P50" s="13" t="n">
        <v>250</v>
      </c>
      <c r="Q50" s="13"/>
      <c r="R50" s="13"/>
      <c r="S50" s="13"/>
      <c r="T50" s="13"/>
      <c r="U50" s="34" t="n">
        <f aca="false">SUM(M50:T50)</f>
        <v>206250</v>
      </c>
    </row>
    <row r="51" customFormat="false" ht="14.25" hidden="false" customHeight="false" outlineLevel="0" collapsed="false">
      <c r="A51" s="35" t="s">
        <v>43</v>
      </c>
      <c r="B51" s="13"/>
      <c r="C51" s="13"/>
      <c r="D51" s="13"/>
      <c r="E51" s="13" t="n">
        <v>-100000</v>
      </c>
      <c r="F51" s="13"/>
      <c r="G51" s="13"/>
      <c r="H51" s="13"/>
      <c r="I51" s="13"/>
      <c r="J51" s="13"/>
      <c r="K51" s="13"/>
      <c r="L51" s="34" t="n">
        <f aca="false">SUM(C51:K51)</f>
        <v>-100000</v>
      </c>
      <c r="M51" s="13"/>
      <c r="N51" s="13" t="n">
        <v>-155000</v>
      </c>
      <c r="O51" s="13"/>
      <c r="P51" s="13"/>
      <c r="Q51" s="13"/>
      <c r="R51" s="13"/>
      <c r="S51" s="13"/>
      <c r="T51" s="13"/>
      <c r="U51" s="34" t="n">
        <f aca="false">SUM(M51:T51)</f>
        <v>-155000</v>
      </c>
    </row>
    <row r="52" customFormat="false" ht="14.25" hidden="false" customHeight="false" outlineLevel="0" collapsed="false">
      <c r="A52" s="35" t="s">
        <v>44</v>
      </c>
      <c r="B52" s="13"/>
      <c r="C52" s="13"/>
      <c r="D52" s="13"/>
      <c r="E52" s="13"/>
      <c r="F52" s="13"/>
      <c r="G52" s="13"/>
      <c r="H52" s="13" t="n">
        <v>-1000</v>
      </c>
      <c r="I52" s="13"/>
      <c r="J52" s="13"/>
      <c r="K52" s="13"/>
      <c r="L52" s="34" t="n">
        <f aca="false">SUM(C52:K52)</f>
        <v>-1000</v>
      </c>
      <c r="M52" s="13" t="n">
        <f aca="false">-L19</f>
        <v>-1000</v>
      </c>
      <c r="N52" s="13"/>
      <c r="O52" s="13"/>
      <c r="P52" s="13"/>
      <c r="Q52" s="13" t="n">
        <v>-1000</v>
      </c>
      <c r="R52" s="13"/>
      <c r="S52" s="13"/>
      <c r="T52" s="13"/>
      <c r="U52" s="34" t="n">
        <f aca="false">SUM(M52:T52)</f>
        <v>-2000</v>
      </c>
    </row>
    <row r="53" customFormat="false" ht="14.25" hidden="false" customHeight="false" outlineLevel="0" collapsed="false">
      <c r="A53" s="35" t="s">
        <v>45</v>
      </c>
      <c r="B53" s="13"/>
      <c r="C53" s="13"/>
      <c r="D53" s="13" t="n">
        <v>-9000</v>
      </c>
      <c r="E53" s="13"/>
      <c r="F53" s="13" t="n">
        <v>-1200</v>
      </c>
      <c r="G53" s="13"/>
      <c r="H53" s="13"/>
      <c r="I53" s="13"/>
      <c r="J53" s="13"/>
      <c r="K53" s="13"/>
      <c r="L53" s="34" t="n">
        <f aca="false">SUM(C53:K53)</f>
        <v>-10200</v>
      </c>
      <c r="M53" s="13"/>
      <c r="N53" s="13"/>
      <c r="O53" s="13"/>
      <c r="P53" s="13"/>
      <c r="Q53" s="13"/>
      <c r="R53" s="13"/>
      <c r="S53" s="13"/>
      <c r="T53" s="13"/>
      <c r="U53" s="34" t="n">
        <f aca="false">SUM(M53:T53)</f>
        <v>0</v>
      </c>
    </row>
    <row r="54" customFormat="false" ht="14.25" hidden="false" customHeight="false" outlineLevel="0" collapsed="false">
      <c r="A54" s="35" t="s">
        <v>46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34" t="n">
        <f aca="false">SUM(C54:K54)</f>
        <v>0</v>
      </c>
      <c r="M54" s="13"/>
      <c r="N54" s="13"/>
      <c r="O54" s="13"/>
      <c r="P54" s="13"/>
      <c r="Q54" s="13"/>
      <c r="R54" s="13"/>
      <c r="S54" s="13" t="n">
        <f aca="false">-(L25+500)</f>
        <v>-1000</v>
      </c>
      <c r="T54" s="13"/>
      <c r="U54" s="34" t="n">
        <f aca="false">SUM(M54:T54)</f>
        <v>-1000</v>
      </c>
    </row>
    <row r="55" customFormat="false" ht="14.25" hidden="false" customHeight="false" outlineLevel="0" collapsed="false">
      <c r="A55" s="33" t="s">
        <v>47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  <c r="M55" s="36"/>
      <c r="N55" s="36"/>
      <c r="O55" s="36"/>
      <c r="P55" s="36"/>
      <c r="Q55" s="36"/>
      <c r="R55" s="36"/>
      <c r="S55" s="36"/>
      <c r="T55" s="36"/>
      <c r="U55" s="37"/>
    </row>
    <row r="56" customFormat="false" ht="14.25" hidden="false" customHeight="false" outlineLevel="0" collapsed="false">
      <c r="A56" s="35" t="s">
        <v>48</v>
      </c>
      <c r="B56" s="13"/>
      <c r="C56" s="13"/>
      <c r="D56" s="13" t="n">
        <f aca="false">-12000*1.1</f>
        <v>-13200</v>
      </c>
      <c r="E56" s="13"/>
      <c r="F56" s="13"/>
      <c r="G56" s="13"/>
      <c r="H56" s="13"/>
      <c r="I56" s="13"/>
      <c r="J56" s="13"/>
      <c r="K56" s="13"/>
      <c r="L56" s="34" t="n">
        <f aca="false">SUM(C56:K56)</f>
        <v>-13200</v>
      </c>
      <c r="M56" s="13"/>
      <c r="N56" s="13"/>
      <c r="O56" s="13"/>
      <c r="P56" s="13"/>
      <c r="Q56" s="13"/>
      <c r="R56" s="13"/>
      <c r="S56" s="13"/>
      <c r="T56" s="13"/>
      <c r="U56" s="34" t="n">
        <f aca="false">SUM(M56:T56)</f>
        <v>0</v>
      </c>
    </row>
    <row r="57" customFormat="false" ht="14.25" hidden="false" customHeight="false" outlineLevel="0" collapsed="false">
      <c r="A57" s="38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40"/>
      <c r="M57" s="39"/>
      <c r="N57" s="39"/>
      <c r="O57" s="39"/>
      <c r="P57" s="39"/>
      <c r="Q57" s="39"/>
      <c r="R57" s="39"/>
      <c r="S57" s="39"/>
      <c r="T57" s="39"/>
      <c r="U57" s="40"/>
    </row>
    <row r="58" customFormat="false" ht="14.25" hidden="false" customHeight="false" outlineLevel="0" collapsed="false">
      <c r="A58" s="41" t="s">
        <v>49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34"/>
      <c r="M58" s="13"/>
      <c r="N58" s="13"/>
      <c r="O58" s="13"/>
      <c r="P58" s="13"/>
      <c r="Q58" s="13"/>
      <c r="R58" s="13"/>
      <c r="S58" s="13"/>
      <c r="T58" s="13"/>
      <c r="U58" s="34"/>
    </row>
    <row r="59" customFormat="false" ht="15" hidden="false" customHeight="true" outlineLevel="0" collapsed="false">
      <c r="A59" s="35" t="s">
        <v>50</v>
      </c>
      <c r="B59" s="13"/>
      <c r="C59" s="13" t="n">
        <v>50000</v>
      </c>
      <c r="D59" s="13"/>
      <c r="E59" s="13"/>
      <c r="F59" s="13"/>
      <c r="G59" s="13"/>
      <c r="H59" s="13"/>
      <c r="I59" s="13"/>
      <c r="J59" s="13"/>
      <c r="K59" s="13"/>
      <c r="L59" s="34" t="n">
        <f aca="false">SUM(C59:K59)</f>
        <v>50000</v>
      </c>
      <c r="M59" s="13"/>
      <c r="N59" s="13"/>
      <c r="O59" s="13"/>
      <c r="P59" s="13"/>
      <c r="Q59" s="13"/>
      <c r="R59" s="13"/>
      <c r="S59" s="13" t="n">
        <f aca="false">-L24</f>
        <v>-50000</v>
      </c>
      <c r="T59" s="13"/>
      <c r="U59" s="34" t="n">
        <f aca="false">SUM(M59:T59)</f>
        <v>-50000</v>
      </c>
    </row>
    <row r="60" customFormat="false" ht="14.25" hidden="false" customHeight="false" outlineLevel="0" collapsed="false">
      <c r="A60" s="35" t="s">
        <v>51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34" t="n">
        <f aca="false">SUM(C60:K60)</f>
        <v>0</v>
      </c>
      <c r="M60" s="13" t="n">
        <f aca="false">-L22</f>
        <v>-14406</v>
      </c>
      <c r="N60" s="13"/>
      <c r="O60" s="13"/>
      <c r="P60" s="13"/>
      <c r="Q60" s="13"/>
      <c r="R60" s="13"/>
      <c r="S60" s="13"/>
      <c r="T60" s="13"/>
      <c r="U60" s="34" t="n">
        <f aca="false">SUM(M60:T60)</f>
        <v>-14406</v>
      </c>
    </row>
    <row r="61" customFormat="false" ht="14.25" hidden="false" customHeight="false" outlineLevel="0" collapsed="false">
      <c r="A61" s="16" t="s">
        <v>52</v>
      </c>
      <c r="B61" s="42"/>
      <c r="C61" s="17" t="n">
        <f aca="false">SUM(C49:C60)</f>
        <v>50000</v>
      </c>
      <c r="D61" s="17" t="n">
        <f aca="false">SUM(D49:D60)</f>
        <v>-22200</v>
      </c>
      <c r="E61" s="17" t="n">
        <f aca="false">SUM(E49:E60)</f>
        <v>-100000</v>
      </c>
      <c r="F61" s="17" t="n">
        <f aca="false">SUM(F49:F60)</f>
        <v>-1200</v>
      </c>
      <c r="G61" s="17" t="n">
        <f aca="false">SUM(G49:G60)</f>
        <v>122000</v>
      </c>
      <c r="H61" s="17" t="n">
        <f aca="false">SUM(H49:H60)</f>
        <v>-1000</v>
      </c>
      <c r="I61" s="17" t="n">
        <f aca="false">SUM(I49:I60)</f>
        <v>0</v>
      </c>
      <c r="J61" s="17" t="n">
        <f aca="false">SUM(J49:J60)</f>
        <v>0</v>
      </c>
      <c r="K61" s="17" t="n">
        <f aca="false">SUM(K49:K60)</f>
        <v>0</v>
      </c>
      <c r="L61" s="43" t="n">
        <f aca="false">SUM(L49:L60)</f>
        <v>47600</v>
      </c>
      <c r="M61" s="17" t="n">
        <f aca="false">SUM(M49:M60)</f>
        <v>34594</v>
      </c>
      <c r="N61" s="17" t="n">
        <f aca="false">SUM(N49:N60)</f>
        <v>-155000</v>
      </c>
      <c r="O61" s="17" t="n">
        <f aca="false">SUM(O49:O60)</f>
        <v>156000</v>
      </c>
      <c r="P61" s="17" t="n">
        <f aca="false">SUM(P49:P60)</f>
        <v>250</v>
      </c>
      <c r="Q61" s="17" t="n">
        <f aca="false">SUM(Q49:Q60)</f>
        <v>-1000</v>
      </c>
      <c r="R61" s="17" t="n">
        <f aca="false">SUM(R49:R60)</f>
        <v>0</v>
      </c>
      <c r="S61" s="17" t="n">
        <f aca="false">SUM(S49:S60)</f>
        <v>-51000</v>
      </c>
      <c r="T61" s="17" t="n">
        <f aca="false">SUM(T49:T60)</f>
        <v>0</v>
      </c>
      <c r="U61" s="43" t="n">
        <f aca="false">SUM(U49:U60)</f>
        <v>-16156</v>
      </c>
    </row>
    <row r="62" customFormat="false" ht="14.25" hidden="false" customHeight="false" outlineLevel="0" collapsed="false">
      <c r="A62" s="0" t="s">
        <v>53</v>
      </c>
      <c r="L62" s="44" t="n">
        <f aca="false">B4</f>
        <v>80000</v>
      </c>
      <c r="U62" s="44" t="n">
        <f aca="false">L63</f>
        <v>127600</v>
      </c>
    </row>
    <row r="63" customFormat="false" ht="14.25" hidden="false" customHeight="false" outlineLevel="0" collapsed="false">
      <c r="A63" s="0" t="s">
        <v>54</v>
      </c>
      <c r="L63" s="44" t="n">
        <f aca="false">L61+L62</f>
        <v>127600</v>
      </c>
      <c r="U63" s="44" t="n">
        <f aca="false">U61+U62</f>
        <v>111444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2025-02-26T20:27:53Z</dcterms:created>
  <dc:creator>Edilene Santana Santos</dc:creator>
  <dc:description/>
  <dc:language>pt-BR</dc:language>
  <cp:lastModifiedBy>Edilene Santana Santos</cp:lastModifiedBy>
  <dcterms:modified xsi:type="dcterms:W3CDTF">2026-08-20T20:09:01Z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4f7750d-9cdf-4ba7-80aa-2c6ffdc35229_ActionId">
    <vt:lpwstr>7111c39e-b43a-42ef-a5ce-4705c32634a0</vt:lpwstr>
  </property>
  <property fmtid="{D5CDD505-2E9C-101B-9397-08002B2CF9AE}" pid="3" name="MSIP_Label_84f7750d-9cdf-4ba7-80aa-2c6ffdc35229_ContentBits">
    <vt:lpwstr>0</vt:lpwstr>
  </property>
  <property fmtid="{D5CDD505-2E9C-101B-9397-08002B2CF9AE}" pid="4" name="MSIP_Label_84f7750d-9cdf-4ba7-80aa-2c6ffdc35229_Enabled">
    <vt:lpwstr>true</vt:lpwstr>
  </property>
  <property fmtid="{D5CDD505-2E9C-101B-9397-08002B2CF9AE}" pid="5" name="MSIP_Label_84f7750d-9cdf-4ba7-80aa-2c6ffdc35229_Method">
    <vt:lpwstr>Standard</vt:lpwstr>
  </property>
  <property fmtid="{D5CDD505-2E9C-101B-9397-08002B2CF9AE}" pid="6" name="MSIP_Label_84f7750d-9cdf-4ba7-80aa-2c6ffdc35229_Name">
    <vt:lpwstr>Nível - 1</vt:lpwstr>
  </property>
  <property fmtid="{D5CDD505-2E9C-101B-9397-08002B2CF9AE}" pid="7" name="MSIP_Label_84f7750d-9cdf-4ba7-80aa-2c6ffdc35229_SetDate">
    <vt:lpwstr>2026-08-12T10:17:34Z</vt:lpwstr>
  </property>
  <property fmtid="{D5CDD505-2E9C-101B-9397-08002B2CF9AE}" pid="8" name="MSIP_Label_84f7750d-9cdf-4ba7-80aa-2c6ffdc35229_SiteId">
    <vt:lpwstr>79f6b639-ab12-4280-8077-bdbeef869b33</vt:lpwstr>
  </property>
  <property fmtid="{D5CDD505-2E9C-101B-9397-08002B2CF9AE}" pid="9" name="MSIP_Label_84f7750d-9cdf-4ba7-80aa-2c6ffdc35229_Tag">
    <vt:lpwstr>10, 3, 0, 1</vt:lpwstr>
  </property>
</Properties>
</file>