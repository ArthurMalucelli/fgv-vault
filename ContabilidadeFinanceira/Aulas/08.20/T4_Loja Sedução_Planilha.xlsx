
<file path=[Content_Types].xml><?xml version="1.0" encoding="utf-8"?>
<Types xmlns="http://schemas.openxmlformats.org/package/2006/content-types">
  <Default Extension="fntdata" ContentType="application/x-fontdata"/>
  <Default Extension="jpeg" ContentType="image/jpeg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theme/theme1.xml" ContentType="application/vnd.openxmlformats-officedocument.theme+xml"/>
  <Override PartName="/xl/drawings/vmlDrawing1.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>
  <fileVersion appName="Calc" lowestEdited="4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Plan" sheetId="1" state="visible" r:id="rId3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comments1.xml><?xml version="1.0" encoding="utf-8"?>
<comments xmlns="http://schemas.openxmlformats.org/spreadsheetml/2006/main" xmlns:xdr="http://schemas.openxmlformats.org/drawingml/2006/spreadsheetDrawing">
  <authors>
    <author>Claude</author>
  </authors>
  <commentList>
    <comment ref="C4" authorId="0">
      <text>
        <r>
          <rPr>
            <sz val="10"/>
            <rFont val="Arial"/>
            <family val="2"/>
          </rPr>
          <t xml:space="preserve">Capital social: 2 sócias x 40.000</t>
        </r>
      </text>
    </comment>
    <comment ref="D24" authorId="0">
      <text>
        <r>
          <rPr>
            <sz val="10"/>
            <rFont val="Arial"/>
            <family val="2"/>
          </rPr>
          <t xml:space="preserve">Parcela do ano 1: vence ~11 meses após a data do balanço, dentro de 12m -&gt; circulante</t>
        </r>
      </text>
    </comment>
    <comment ref="D26" authorId="0">
      <text>
        <r>
          <rPr>
            <sz val="10"/>
            <rFont val="Arial"/>
            <family val="2"/>
          </rPr>
          <t xml:space="preserve">Parcelas dos anos 2-5</t>
        </r>
      </text>
    </comment>
    <comment ref="E4" authorId="0">
      <text>
        <r>
          <rPr>
            <sz val="10"/>
            <rFont val="Arial"/>
            <family val="2"/>
          </rPr>
          <t xml:space="preserve">Aluguel antecipado 9.000 + móveis 13.200</t>
        </r>
      </text>
    </comment>
    <comment ref="E8" authorId="0">
      <text>
        <r>
          <rPr>
            <sz val="10"/>
            <rFont val="Arial"/>
            <family val="2"/>
          </rPr>
          <t xml:space="preserve">6 meses x 1.500</t>
        </r>
      </text>
    </comment>
    <comment ref="E10" authorId="0">
      <text>
        <r>
          <rPr>
            <sz val="10"/>
            <rFont val="Arial"/>
            <family val="2"/>
          </rPr>
          <t xml:space="preserve">12.000 + 10% IPI não recuperável (integra o custo)</t>
        </r>
      </text>
    </comment>
    <comment ref="E54" authorId="0">
      <text>
        <r>
          <rPr>
            <sz val="10"/>
            <rFont val="Arial"/>
            <family val="2"/>
          </rPr>
          <t xml:space="preserve">Só o aluguel; móveis são investimento</t>
        </r>
      </text>
    </comment>
    <comment ref="G4" authorId="0">
      <text>
        <r>
          <rPr>
            <sz val="10"/>
            <rFont val="Arial"/>
            <family val="2"/>
          </rPr>
          <t xml:space="preserve">Anúncio pago em julho, veicula em agosto: ativo, não despesa</t>
        </r>
      </text>
    </comment>
    <comment ref="H4" authorId="0">
      <text>
        <r>
          <rPr>
            <sz val="10"/>
            <rFont val="Arial"/>
            <family val="2"/>
          </rPr>
          <t xml:space="preserve">102.000 recebidos das vendas (152-50 a prazo) + 20.000 vales-presente</t>
        </r>
      </text>
    </comment>
    <comment ref="H6" authorId="0">
      <text>
        <r>
          <rPr>
            <sz val="10"/>
            <rFont val="Arial"/>
            <family val="2"/>
          </rPr>
          <t xml:space="preserve">CMV = 100.000 compras - 4.000 estoque final</t>
        </r>
      </text>
    </comment>
    <comment ref="H21" authorId="0">
      <text>
        <r>
          <rPr>
            <sz val="10"/>
            <rFont val="Arial"/>
            <family val="2"/>
          </rPr>
          <t xml:space="preserve">Vales vendidos e não resgatados: obrigação de entregar mercadoria</t>
        </r>
      </text>
    </comment>
    <comment ref="H30" authorId="0">
      <text>
        <r>
          <rPr>
            <sz val="10"/>
            <rFont val="Arial"/>
            <family val="2"/>
          </rPr>
          <t xml:space="preserve">Receita 152.000 - CMV 96.000</t>
        </r>
      </text>
    </comment>
    <comment ref="H36" authorId="0">
      <text>
        <r>
          <rPr>
            <sz val="10"/>
            <rFont val="Arial"/>
            <family val="2"/>
          </rPr>
          <t xml:space="preserve">Só vendas com mercadoria entregue; vales NÃO são receita em julho</t>
        </r>
      </text>
    </comment>
    <comment ref="H52" authorId="0">
      <text>
        <r>
          <rPr>
            <sz val="10"/>
            <rFont val="Arial"/>
            <family val="2"/>
          </rPr>
          <t xml:space="preserve">Regime de caixa: 102.000 das vendas + 20.000 dos vales</t>
        </r>
      </text>
    </comment>
    <comment ref="I4" authorId="0">
      <text>
        <r>
          <rPr>
            <sz val="10"/>
            <rFont val="Arial"/>
            <family val="2"/>
          </rPr>
          <t xml:space="preserve">Metade do salário paga</t>
        </r>
      </text>
    </comment>
    <comment ref="I30" authorId="0">
      <text>
        <r>
          <rPr>
            <sz val="10"/>
            <rFont val="Arial"/>
            <family val="2"/>
          </rPr>
          <t xml:space="preserve">Despesa cheia por competência</t>
        </r>
      </text>
    </comment>
    <comment ref="J8" authorId="0">
      <text>
        <r>
          <rPr>
            <sz val="10"/>
            <rFont val="Arial"/>
            <family val="2"/>
          </rPr>
          <t xml:space="preserve">1 mês de aluguel consumido (9.000/6)</t>
        </r>
      </text>
    </comment>
    <comment ref="J11" authorId="0">
      <text>
        <r>
          <rPr>
            <sz val="10"/>
            <rFont val="Arial"/>
            <family val="2"/>
          </rPr>
          <t xml:space="preserve">13.200 / 24 meses</t>
        </r>
      </text>
    </comment>
    <comment ref="J23" authorId="0">
      <text>
        <r>
          <rPr>
            <sz val="10"/>
            <rFont val="Arial"/>
            <family val="2"/>
          </rPr>
          <t xml:space="preserve">Juros 1% x 50.000, pagos anualmente: provisiona</t>
        </r>
      </text>
    </comment>
    <comment ref="J30" authorId="0">
      <text>
        <r>
          <rPr>
            <sz val="10"/>
            <rFont val="Arial"/>
            <family val="2"/>
          </rPr>
          <t xml:space="preserve">Aluguel 1.500 + depreciação 550 + juros 500</t>
        </r>
      </text>
    </comment>
    <comment ref="J41" authorId="0">
      <text>
        <r>
          <rPr>
            <sz val="10"/>
            <rFont val="Arial"/>
            <family val="2"/>
          </rPr>
          <t xml:space="preserve">Aluguel 1.500 + depreciação 550</t>
        </r>
      </text>
    </comment>
    <comment ref="K20" authorId="0">
      <text>
        <r>
          <rPr>
            <sz val="10"/>
            <rFont val="Arial"/>
            <family val="2"/>
          </rPr>
          <t xml:space="preserve">Provisão do IR de julho (paga em agosto)</t>
        </r>
      </text>
    </comment>
    <comment ref="K46" authorId="0">
      <text>
        <r>
          <rPr>
            <sz val="10"/>
            <rFont val="Arial"/>
            <family val="2"/>
          </rPr>
          <t xml:space="preserve">IR/CSLL: 30% do lucro antes do IR de julho</t>
        </r>
      </text>
    </comment>
    <comment ref="L22" authorId="0">
      <text>
        <r>
          <rPr>
            <sz val="10"/>
            <rFont val="Arial"/>
            <family val="2"/>
          </rPr>
          <t xml:space="preserve">Dividendos: 40% do lucro líquido de julho, liquidação em agosto</t>
        </r>
      </text>
    </comment>
    <comment ref="M63" authorId="0">
      <text>
        <r>
          <rPr>
            <sz val="10"/>
            <rFont val="Arial"/>
            <family val="2"/>
          </rPr>
          <t xml:space="preserve">Empresa abriu em julho: caixa inicial zero. Capital é financiamento, não saldo inicial.</t>
        </r>
      </text>
    </comment>
    <comment ref="M64" authorId="0">
      <text>
        <r>
          <rPr>
            <sz val="10"/>
            <rFont val="Arial"/>
            <family val="2"/>
          </rPr>
          <t xml:space="preserve">Deve bater com o Caixa do BP em 30/jul</t>
        </r>
      </text>
    </comment>
    <comment ref="N4" authorId="0">
      <text>
        <r>
          <rPr>
            <sz val="10"/>
            <rFont val="Arial"/>
            <family val="2"/>
          </rPr>
          <t xml:space="preserve">Recebe CR de julho (50.000), paga salário pendente (1.000) e dividendos</t>
        </r>
      </text>
    </comment>
    <comment ref="N61" authorId="0">
      <text>
        <r>
          <rPr>
            <sz val="10"/>
            <rFont val="Arial"/>
            <family val="2"/>
          </rPr>
          <t xml:space="preserve">Dividendos de julho pagos em agosto</t>
        </r>
      </text>
    </comment>
    <comment ref="O4" authorId="0">
      <text>
        <r>
          <rPr>
            <sz val="10"/>
            <rFont val="Arial"/>
            <family val="2"/>
          </rPr>
          <t xml:space="preserve">Compras 170.000, ficou devendo 15.000</t>
        </r>
      </text>
    </comment>
    <comment ref="P4" authorId="0">
      <text>
        <r>
          <rPr>
            <sz val="10"/>
            <rFont val="Arial"/>
            <family val="2"/>
          </rPr>
          <t xml:space="preserve">Vendas novas 180.000 - 24.000 a prazo</t>
        </r>
      </text>
    </comment>
    <comment ref="P6" authorId="0">
      <text>
        <r>
          <rPr>
            <sz val="10"/>
            <rFont val="Arial"/>
            <family val="2"/>
          </rPr>
          <t xml:space="preserve">CMV = 4.000 EI + 170.000 compras - 23.000 EF</t>
        </r>
      </text>
    </comment>
    <comment ref="P21" authorId="0">
      <text>
        <r>
          <rPr>
            <sz val="10"/>
            <rFont val="Arial"/>
            <family val="2"/>
          </rPr>
          <t xml:space="preserve">Vales todos resgatados: passivo vira receita</t>
        </r>
      </text>
    </comment>
    <comment ref="P30" authorId="0">
      <text>
        <r>
          <rPr>
            <sz val="10"/>
            <rFont val="Arial"/>
            <family val="2"/>
          </rPr>
          <t xml:space="preserve">Receita 200.000 (180.000 vendas + 20.000 vales) - CMV 151.000</t>
        </r>
      </text>
    </comment>
    <comment ref="P36" authorId="0">
      <text>
        <r>
          <rPr>
            <sz val="10"/>
            <rFont val="Arial"/>
            <family val="2"/>
          </rPr>
          <t xml:space="preserve">Premissa: 180.000 vendas do período + 20.000 vales resgatados. Conferir com o texto em azul do PDF</t>
        </r>
      </text>
    </comment>
    <comment ref="Q4" authorId="0">
      <text>
        <r>
          <rPr>
            <sz val="10"/>
            <rFont val="Arial"/>
            <family val="2"/>
          </rPr>
          <t xml:space="preserve">Adiantamento por encomenda: perfume não chegou, sem receita</t>
        </r>
      </text>
    </comment>
    <comment ref="S8" authorId="0">
      <text>
        <r>
          <rPr>
            <sz val="10"/>
            <rFont val="Arial"/>
            <family val="2"/>
          </rPr>
          <t xml:space="preserve">Anúncio veiculou: despesa antecipada vira despesa</t>
        </r>
      </text>
    </comment>
    <comment ref="S40" authorId="0">
      <text>
        <r>
          <rPr>
            <sz val="10"/>
            <rFont val="Arial"/>
            <family val="2"/>
          </rPr>
          <t xml:space="preserve">Publicidade = despesa de vendas</t>
        </r>
      </text>
    </comment>
    <comment ref="T4" authorId="0">
      <text>
        <r>
          <rPr>
            <sz val="10"/>
            <rFont val="Arial"/>
            <family val="2"/>
          </rPr>
          <t xml:space="preserve">Quita empréstimo 50.000 (CP+LP) + juros acumulados 1.000</t>
        </r>
      </text>
    </comment>
    <comment ref="T30" authorId="0">
      <text>
        <r>
          <rPr>
            <sz val="10"/>
            <rFont val="Arial"/>
            <family val="2"/>
          </rPr>
          <t xml:space="preserve">Juros de agosto por competência</t>
        </r>
      </text>
    </comment>
    <comment ref="T55" authorId="0">
      <text>
        <r>
          <rPr>
            <sz val="10"/>
            <rFont val="Arial"/>
            <family val="2"/>
          </rPr>
          <t xml:space="preserve">Juros de jul+ago pagos na quitação</t>
        </r>
      </text>
    </comment>
    <comment ref="U4" authorId="0">
      <text>
        <r>
          <rPr>
            <sz val="10"/>
            <rFont val="Arial"/>
            <family val="2"/>
          </rPr>
          <t xml:space="preserve">Paga IR de julho (premissa: 'pagamento previsto p/ o próximo mês' do 4.2)</t>
        </r>
      </text>
    </comment>
    <comment ref="U20" authorId="0">
      <text>
        <r>
          <rPr>
            <sz val="10"/>
            <rFont val="Arial"/>
            <family val="2"/>
          </rPr>
          <t xml:space="preserve">Paga IR de julho, provisiona IR de agosto</t>
        </r>
      </text>
    </comment>
    <comment ref="U30" authorId="0">
      <text>
        <r>
          <rPr>
            <sz val="10"/>
            <rFont val="Arial"/>
            <family val="2"/>
          </rPr>
          <t xml:space="preserve">Aluguel + depreciação + IR de agosto</t>
        </r>
      </text>
    </comment>
    <comment ref="U46" authorId="0">
      <text>
        <r>
          <rPr>
            <sz val="10"/>
            <rFont val="Arial"/>
            <family val="2"/>
          </rPr>
          <t xml:space="preserve">IR/CSLL: 30% do lucro antes do IR de agosto</t>
        </r>
      </text>
    </comment>
    <comment ref="U55" authorId="0">
      <text>
        <r>
          <rPr>
            <sz val="10"/>
            <rFont val="Arial"/>
            <family val="2"/>
          </rPr>
          <t xml:space="preserve">IR de julho pago em agosto</t>
        </r>
      </text>
    </comment>
    <comment ref="V64" authorId="0">
      <text>
        <r>
          <rPr>
            <sz val="10"/>
            <rFont val="Arial"/>
            <family val="2"/>
          </rPr>
          <t xml:space="preserve">Deve bater com o Caixa do BP em 30/ago</t>
        </r>
      </text>
    </comment>
  </commentList>
</comments>
</file>

<file path=xl/sharedStrings.xml><?xml version="1.0" encoding="utf-8"?>
<sst xmlns="http://schemas.openxmlformats.org/spreadsheetml/2006/main" count="65" uniqueCount="62">
  <si>
    <t xml:space="preserve">Transações, por Número</t>
  </si>
  <si>
    <t xml:space="preserve">Azul = input | Preto = fórmula</t>
  </si>
  <si>
    <t xml:space="preserve">Ativo Circulante</t>
  </si>
  <si>
    <t xml:space="preserve"> Caixa e Equivalentes de Caixa</t>
  </si>
  <si>
    <t xml:space="preserve"> Contas a Receber de Clientes</t>
  </si>
  <si>
    <t xml:space="preserve"> Estoques</t>
  </si>
  <si>
    <t xml:space="preserve"> Adiantamentos a Fornecedores</t>
  </si>
  <si>
    <t xml:space="preserve"> Despesas Antecipadas</t>
  </si>
  <si>
    <t xml:space="preserve">Ativo Não Circulante</t>
  </si>
  <si>
    <t xml:space="preserve"> Imobilizado</t>
  </si>
  <si>
    <t xml:space="preserve"> (-) Depreciação Acumulada</t>
  </si>
  <si>
    <t xml:space="preserve"> Intangível</t>
  </si>
  <si>
    <t xml:space="preserve"> (-) Amortização Acumulada</t>
  </si>
  <si>
    <t xml:space="preserve"> Outros Ativos Não Circulantes</t>
  </si>
  <si>
    <t xml:space="preserve">TOTAL DO ATIVO</t>
  </si>
  <si>
    <t xml:space="preserve">PASSIVO &amp; PL</t>
  </si>
  <si>
    <t xml:space="preserve">Passivo Circulante</t>
  </si>
  <si>
    <t xml:space="preserve"> Fornecedores</t>
  </si>
  <si>
    <t xml:space="preserve"> Salários e Encargos a Pagar</t>
  </si>
  <si>
    <t xml:space="preserve"> Impostos a Pagar</t>
  </si>
  <si>
    <t xml:space="preserve"> Adiantamento de Clientes</t>
  </si>
  <si>
    <t xml:space="preserve"> Dividendos a Pagar</t>
  </si>
  <si>
    <t xml:space="preserve"> Juros a Pagar</t>
  </si>
  <si>
    <t xml:space="preserve"> Empréstimos e Financiamentos (CP)</t>
  </si>
  <si>
    <t xml:space="preserve">Passivo Não Circulante</t>
  </si>
  <si>
    <t xml:space="preserve"> Empréstimos e Financiamentos (LP)</t>
  </si>
  <si>
    <t xml:space="preserve"> Outras Obrigações a Longo Prazo</t>
  </si>
  <si>
    <t xml:space="preserve">Patrimônio Líquido</t>
  </si>
  <si>
    <t xml:space="preserve"> Capital Social</t>
  </si>
  <si>
    <t xml:space="preserve"> Lucros/Prejuízos Acumulados</t>
  </si>
  <si>
    <t xml:space="preserve">TOTAL DO PASSIVO + PL</t>
  </si>
  <si>
    <t xml:space="preserve">DIFERENÇA, SE HOUVER</t>
  </si>
  <si>
    <t xml:space="preserve">DRE</t>
  </si>
  <si>
    <t xml:space="preserve">Julho</t>
  </si>
  <si>
    <t xml:space="preserve">Agosto</t>
  </si>
  <si>
    <t xml:space="preserve">Receita de Vendas</t>
  </si>
  <si>
    <t xml:space="preserve"> CMV</t>
  </si>
  <si>
    <t xml:space="preserve">Lucro Bruto</t>
  </si>
  <si>
    <t xml:space="preserve">Despesas Operacionais</t>
  </si>
  <si>
    <t xml:space="preserve">  Despesas de Vendas</t>
  </si>
  <si>
    <t xml:space="preserve">  Despesas Gerais e Admin.</t>
  </si>
  <si>
    <t xml:space="preserve">  Outras Desp./Rec. Operacionais</t>
  </si>
  <si>
    <t xml:space="preserve">Lucro antes do result. fin. (EBIT)</t>
  </si>
  <si>
    <t xml:space="preserve">  Despesa de juros</t>
  </si>
  <si>
    <t xml:space="preserve">Lucro antes do IR</t>
  </si>
  <si>
    <t xml:space="preserve">  IR e CSLL</t>
  </si>
  <si>
    <t xml:space="preserve">Lucro Líquido</t>
  </si>
  <si>
    <t xml:space="preserve">DFC</t>
  </si>
  <si>
    <t xml:space="preserve">OPERAÇÕES</t>
  </si>
  <si>
    <t xml:space="preserve"> Recebimentos de clientes</t>
  </si>
  <si>
    <t xml:space="preserve"> (-) Pagamentos a fornecedores</t>
  </si>
  <si>
    <t xml:space="preserve"> (-) Pagamentos de despesas operacionais</t>
  </si>
  <si>
    <t xml:space="preserve"> (-) Impostos e juros pagos</t>
  </si>
  <si>
    <t xml:space="preserve">INVESTIMENTOS</t>
  </si>
  <si>
    <t xml:space="preserve"> (-) Aquisição de imobilizado / intangível</t>
  </si>
  <si>
    <t xml:space="preserve"> (+) Venda de ativos não circulantes</t>
  </si>
  <si>
    <t xml:space="preserve">FINANCIAMENTOS</t>
  </si>
  <si>
    <t xml:space="preserve"> (+) Integralização de capital / captação de empréstimos</t>
  </si>
  <si>
    <t xml:space="preserve"> (-) Amortização de empréstimos / distribuição de lucros</t>
  </si>
  <si>
    <t xml:space="preserve">VARIAÇÃO DO CAIXA</t>
  </si>
  <si>
    <t xml:space="preserve">Saldo inicial</t>
  </si>
  <si>
    <t xml:space="preserve">Saldo final</t>
  </si>
</sst>
</file>

<file path=xl/styles.xml><?xml version="1.0" encoding="utf-8"?>
<styleSheet xmlns="http://schemas.openxmlformats.org/spreadsheetml/2006/main">
  <numFmts count="5">
    <numFmt numFmtId="164" formatCode="General"/>
    <numFmt numFmtId="165" formatCode="d/mmm"/>
    <numFmt numFmtId="166" formatCode="_(* #,##0.00_);_(* \(#,##0.00\);_(* \-??_);_(@_)"/>
    <numFmt numFmtId="167" formatCode="_(* #,##0_);_(* \(#,##0\);_(* \-??_);_(@_)"/>
    <numFmt numFmtId="168" formatCode="#,##0;\(#,##0\);\-"/>
  </numFmts>
  <fonts count="18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1"/>
      <color rgb="FF0070C0"/>
      <name val="Calibri"/>
      <family val="2"/>
      <charset val="1"/>
    </font>
    <font>
      <sz val="11"/>
      <color rgb="FF0070C0"/>
      <name val="Calibri"/>
      <family val="2"/>
      <charset val="1"/>
    </font>
    <font>
      <b val="true"/>
      <sz val="11"/>
      <color theme="1"/>
      <name val="Calibri"/>
      <family val="2"/>
      <charset val="1"/>
    </font>
    <font>
      <i val="true"/>
      <sz val="9"/>
      <color rgb="FF808080"/>
      <name val="Cambria"/>
      <family val="0"/>
      <charset val="1"/>
    </font>
    <font>
      <b val="true"/>
      <i val="true"/>
      <u val="single"/>
      <sz val="10"/>
      <color theme="1"/>
      <name val="Arial"/>
      <family val="2"/>
      <charset val="1"/>
    </font>
    <font>
      <sz val="10"/>
      <color theme="1"/>
      <name val="Arial"/>
      <family val="2"/>
      <charset val="1"/>
    </font>
    <font>
      <sz val="11"/>
      <color rgb="FF0000FF"/>
      <name val="Cambria"/>
      <family val="0"/>
      <charset val="1"/>
    </font>
    <font>
      <b val="true"/>
      <sz val="10"/>
      <color theme="1"/>
      <name val="Arial"/>
      <family val="2"/>
      <charset val="1"/>
    </font>
    <font>
      <b val="true"/>
      <sz val="11"/>
      <name val="Cambria"/>
      <family val="0"/>
      <charset val="1"/>
    </font>
    <font>
      <sz val="11"/>
      <color rgb="FFFF0000"/>
      <name val="Calibri"/>
      <family val="2"/>
      <charset val="1"/>
    </font>
    <font>
      <b val="true"/>
      <sz val="11"/>
      <color rgb="FFFF0000"/>
      <name val="Calibri"/>
      <family val="2"/>
      <charset val="1"/>
    </font>
    <font>
      <i val="true"/>
      <u val="single"/>
      <sz val="10"/>
      <color theme="1"/>
      <name val="Arial"/>
      <family val="2"/>
      <charset val="1"/>
    </font>
    <font>
      <u val="single"/>
      <sz val="10"/>
      <color theme="1"/>
      <name val="Arial"/>
      <family val="2"/>
      <charset val="1"/>
    </font>
    <font>
      <sz val="10"/>
      <name val="Arial"/>
      <family val="2"/>
    </font>
  </fonts>
  <fills count="5">
    <fill>
      <patternFill patternType="none"/>
    </fill>
    <fill>
      <patternFill patternType="gray125"/>
    </fill>
    <fill>
      <patternFill patternType="solid">
        <fgColor theme="8" tint="0.7999"/>
        <bgColor rgb="FFCCFFFF"/>
      </patternFill>
    </fill>
    <fill>
      <patternFill patternType="solid">
        <fgColor theme="0"/>
        <bgColor rgb="FFFFFFCC"/>
      </patternFill>
    </fill>
    <fill>
      <patternFill patternType="solid">
        <fgColor rgb="FFFFFF00"/>
        <bgColor rgb="FFFFFF00"/>
      </patternFill>
    </fill>
  </fills>
  <borders count="13">
    <border diagonalUp="false" diagonalDown="false">
      <left/>
      <right/>
      <top/>
      <bottom/>
      <diagonal/>
    </border>
    <border diagonalUp="false" diagonalDown="false">
      <left style="thin"/>
      <right style="thin"/>
      <top style="thin"/>
      <bottom style="thin"/>
      <diagonal/>
    </border>
    <border diagonalUp="false" diagonalDown="false">
      <left style="thin"/>
      <right/>
      <top/>
      <bottom/>
      <diagonal/>
    </border>
    <border diagonalUp="false" diagonalDown="false">
      <left style="thin"/>
      <right style="thin"/>
      <top/>
      <bottom/>
      <diagonal/>
    </border>
    <border diagonalUp="false" diagonalDown="false">
      <left style="thin"/>
      <right/>
      <top style="thin"/>
      <bottom style="thin"/>
      <diagonal/>
    </border>
    <border diagonalUp="false" diagonalDown="false">
      <left style="thin"/>
      <right/>
      <top style="thin"/>
      <bottom/>
      <diagonal/>
    </border>
    <border diagonalUp="false" diagonalDown="false">
      <left style="medium"/>
      <right style="medium"/>
      <top/>
      <bottom/>
      <diagonal/>
    </border>
    <border diagonalUp="false" diagonalDown="false">
      <left/>
      <right/>
      <top style="thin"/>
      <bottom/>
      <diagonal/>
    </border>
    <border diagonalUp="false" diagonalDown="false">
      <left style="medium"/>
      <right style="medium"/>
      <top style="thin"/>
      <bottom/>
      <diagonal/>
    </border>
    <border diagonalUp="false" diagonalDown="false">
      <left style="thin"/>
      <right/>
      <top/>
      <bottom style="thin"/>
      <diagonal/>
    </border>
    <border diagonalUp="false" diagonalDown="false">
      <left/>
      <right/>
      <top/>
      <bottom style="thin"/>
      <diagonal/>
    </border>
    <border diagonalUp="false" diagonalDown="false">
      <left style="medium"/>
      <right style="medium"/>
      <top/>
      <bottom style="thin"/>
      <diagonal/>
    </border>
    <border diagonalUp="false" diagonalDown="false">
      <left style="medium"/>
      <right style="medium"/>
      <top style="thin"/>
      <bottom style="medium"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166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53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2" borderId="0" xfId="0" applyFont="true" applyBorder="false" applyAlignment="true" applyProtection="false">
      <alignment horizontal="center" vertical="bottom" textRotation="0" wrapText="true" indent="0" shrinkToFit="false"/>
      <protection locked="true" hidden="false"/>
    </xf>
    <xf numFmtId="164" fontId="6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7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4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5" fontId="4" fillId="2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8" fillId="0" borderId="0" xfId="0" applyFont="true" applyBorder="false" applyAlignment="true" applyProtection="false">
      <alignment horizontal="left" vertical="center" textRotation="0" wrapText="false" indent="0" shrinkToFit="false"/>
      <protection locked="true" hidden="false"/>
    </xf>
    <xf numFmtId="167" fontId="4" fillId="2" borderId="0" xfId="15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4" fillId="0" borderId="0" xfId="15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9" fillId="0" borderId="0" xfId="0" applyFont="true" applyBorder="false" applyAlignment="true" applyProtection="false">
      <alignment horizontal="left" vertical="center" textRotation="0" wrapText="false" indent="0" shrinkToFit="false"/>
      <protection locked="true" hidden="false"/>
    </xf>
    <xf numFmtId="168" fontId="1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8" fontId="10" fillId="0" borderId="0" xfId="15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8" fontId="4" fillId="2" borderId="0" xfId="15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8" fontId="4" fillId="0" borderId="0" xfId="15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1" fillId="2" borderId="1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8" fontId="12" fillId="2" borderId="1" xfId="15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8" fontId="12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1" fillId="0" borderId="0" xfId="0" applyFont="true" applyBorder="false" applyAlignment="true" applyProtection="false">
      <alignment horizontal="left" vertical="center" textRotation="0" wrapText="false" indent="0" shrinkToFit="false"/>
      <protection locked="true" hidden="false"/>
    </xf>
    <xf numFmtId="168" fontId="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3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4" fillId="4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8" fontId="12" fillId="4" borderId="1" xfId="15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7" fontId="4" fillId="3" borderId="0" xfId="15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1" fillId="0" borderId="1" xfId="0" applyFont="true" applyBorder="true" applyAlignment="true" applyProtection="false">
      <alignment horizontal="justify" vertical="center" textRotation="0" wrapText="false" indent="0" shrinkToFit="false"/>
      <protection locked="true" hidden="false"/>
    </xf>
    <xf numFmtId="167" fontId="4" fillId="0" borderId="1" xfId="15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4" fillId="2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9" fillId="0" borderId="2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8" fontId="4" fillId="2" borderId="3" xfId="15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1" fillId="0" borderId="2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8" fontId="12" fillId="0" borderId="0" xfId="15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8" fontId="12" fillId="2" borderId="3" xfId="15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5" fillId="0" borderId="2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7" fontId="4" fillId="2" borderId="3" xfId="15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4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6" fillId="0" borderId="5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7" fontId="4" fillId="2" borderId="6" xfId="15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8" fontId="4" fillId="2" borderId="6" xfId="15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7" fontId="4" fillId="0" borderId="7" xfId="15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7" fontId="4" fillId="2" borderId="8" xfId="15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1" fillId="0" borderId="9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7" fontId="4" fillId="0" borderId="10" xfId="15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8" fontId="4" fillId="2" borderId="11" xfId="15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6" fillId="0" borderId="2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8" fontId="12" fillId="2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8" fontId="12" fillId="2" borderId="12" xfId="0" applyFont="true" applyBorder="true" applyAlignment="fals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FCC"/>
      <rgbColor rgb="FFDEEBF7"/>
      <rgbColor rgb="FF660066"/>
      <rgbColor rgb="FFFF8080"/>
      <rgbColor rgb="FF0070C0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Tema do Office 2013 - 2022">
  <a:themeElements>
    <a:clrScheme name="Office 2013 - 2022">
      <a:dk1>
        <a:srgbClr val="000000"/>
      </a:dk1>
      <a:lt1>
        <a:srgbClr val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 pitchFamily="0" charset="1"/>
        <a:ea typeface=""/>
        <a:cs typeface=""/>
      </a:majorFont>
      <a:minorFont>
        <a:latin typeface="Calibri" panose="020F0502020204030204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lumMod val="110000"/>
                <a:tint val="67000"/>
              </a:schemeClr>
            </a:gs>
            <a:gs pos="50000">
              <a:schemeClr val="phClr">
                <a:lumMod val="105000"/>
                <a:tint val="73000"/>
              </a:schemeClr>
            </a:gs>
            <a:gs pos="100000">
              <a:schemeClr val="phClr">
                <a:lumMod val="105000"/>
                <a:tint val="81000"/>
              </a:schemeClr>
            </a:gs>
          </a:gsLst>
          <a:lin ang="5400000" scaled="0"/>
          <a:tileRect l="0" t="0" r="0" b="0"/>
        </a:gradFill>
        <a:gradFill>
          <a:gsLst>
            <a:gs pos="0">
              <a:schemeClr val="phClr">
                <a:lumMod val="102000"/>
                <a:tint val="94000"/>
              </a:schemeClr>
            </a:gs>
            <a:gs pos="50000">
              <a:schemeClr val="phClr">
                <a:lumMod val="100000"/>
                <a:shade val="100000"/>
              </a:schemeClr>
            </a:gs>
            <a:gs pos="100000">
              <a:schemeClr val="phClr">
                <a:lumMod val="99000"/>
                <a:shade val="78000"/>
              </a:schemeClr>
            </a:gs>
          </a:gsLst>
          <a:lin ang="5400000" scaled="0"/>
          <a:tileRect l="0" t="0" r="0" b="0"/>
        </a:gradFill>
      </a:fillStyleLst>
      <a:lnStyleLst>
        <a:ln w="6350" cap="flat" cmpd="sng" algn="ctr">
          <a:prstDash val="solid"/>
          <a:miter lim="800000"/>
        </a:ln>
        <a:ln w="12700" cap="flat" cmpd="sng" algn="ctr">
          <a:prstDash val="solid"/>
          <a:miter lim="800000"/>
        </a:ln>
        <a:ln w="19050" cap="flat" cmpd="sng" algn="ctr"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>
            <a:tint val="95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</a:schemeClr>
            </a:gs>
            <a:gs pos="50000">
              <a:schemeClr val="phClr">
                <a:tint val="98000"/>
                <a:shade val="90000"/>
                <a:lumMod val="103000"/>
              </a:schemeClr>
            </a:gs>
            <a:gs pos="100000">
              <a:schemeClr val="phClr">
                <a:shade val="63000"/>
              </a:schemeClr>
            </a:gs>
          </a:gsLst>
          <a:lin ang="5400000" scaled="0"/>
          <a:tileRect l="0" t="0" r="0" b="0"/>
        </a:gradFill>
      </a:bgFillStyleLst>
    </a:fmtScheme>
  </a:themeElements>
</a:theme>
</file>

<file path=xl/worksheets/_rels/sheet1.xml.rels><?xml version="1.0" encoding="UTF-8"?>
<Relationships xmlns="http://schemas.openxmlformats.org/package/2006/relationships"><Relationship Id="rId1" Type="http://schemas.openxmlformats.org/officeDocument/2006/relationships/comments" Target="../comments1.xml"/><Relationship Id="rId2" Type="http://schemas.openxmlformats.org/officeDocument/2006/relationships/vmlDrawing" Target="../drawings/vmlDrawing1.v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U64"/>
  <sheetViews>
    <sheetView showFormulas="false" showGridLines="true" showRowColHeaders="true" showZeros="true" rightToLeft="false" tabSelected="true" showOutlineSymbols="true" defaultGridColor="true" view="normal" topLeftCell="A1" colorId="64" zoomScale="110" zoomScaleNormal="110" zoomScalePageLayoutView="100" workbookViewId="0">
      <pane xSplit="1" ySplit="2" topLeftCell="B3" activePane="bottomRight" state="frozen"/>
      <selection pane="topLeft" activeCell="A1" activeCellId="0" sqref="A1"/>
      <selection pane="topRight" activeCell="B1" activeCellId="0" sqref="B1"/>
      <selection pane="bottomLeft" activeCell="A3" activeCellId="0" sqref="A3"/>
      <selection pane="bottomRight" activeCell="N51" activeCellId="0" sqref="N51"/>
    </sheetView>
  </sheetViews>
  <sheetFormatPr defaultColWidth="8.6796875" defaultRowHeight="14.25" customHeight="false" zeroHeight="false" outlineLevelRow="0" outlineLevelCol="0"/>
  <cols>
    <col collapsed="false" customWidth="true" hidden="false" outlineLevel="0" max="1" min="1" style="0" width="29.09"/>
    <col collapsed="false" customWidth="true" hidden="false" outlineLevel="0" max="2" min="2" style="1" width="9.73"/>
    <col collapsed="false" customWidth="false" hidden="false" outlineLevel="0" max="29" min="3" style="2" width="8.73"/>
  </cols>
  <sheetData>
    <row r="1" s="3" customFormat="true" ht="14.25" hidden="false" customHeight="false" outlineLevel="0" collapsed="false">
      <c r="B1" s="4"/>
      <c r="D1" s="5"/>
      <c r="E1" s="6"/>
      <c r="F1" s="6"/>
      <c r="G1" s="6" t="s">
        <v>0</v>
      </c>
      <c r="H1" s="6"/>
      <c r="I1" s="6"/>
      <c r="J1" s="6"/>
      <c r="K1" s="6"/>
      <c r="L1" s="6"/>
      <c r="M1" s="7"/>
      <c r="N1" s="6"/>
      <c r="O1" s="6"/>
      <c r="P1" s="6"/>
      <c r="Q1" s="6" t="s">
        <v>0</v>
      </c>
      <c r="R1" s="6"/>
      <c r="S1" s="6"/>
      <c r="T1" s="6"/>
      <c r="U1" s="6"/>
      <c r="V1" s="7"/>
      <c r="W1" s="8" t="s">
        <v>1</v>
      </c>
      <c r="X1" s="6"/>
      <c r="Y1" s="6"/>
      <c r="Z1" s="6"/>
      <c r="AA1" s="6"/>
      <c r="AB1" s="6"/>
      <c r="AC1" s="6"/>
      <c r="AD1" s="6"/>
      <c r="AE1" s="5"/>
      <c r="AF1" s="5"/>
      <c r="AG1" s="5"/>
      <c r="AH1" s="5"/>
      <c r="AI1" s="5"/>
      <c r="AJ1" s="5"/>
      <c r="AK1" s="5"/>
      <c r="AL1" s="5"/>
      <c r="AM1" s="5"/>
      <c r="AN1" s="5"/>
      <c r="AO1" s="5"/>
      <c r="AP1" s="5"/>
      <c r="AQ1" s="5"/>
      <c r="AR1" s="5"/>
      <c r="AS1" s="5"/>
      <c r="AT1" s="5"/>
      <c r="AU1" s="5"/>
    </row>
    <row r="2" customFormat="false" ht="14.25" hidden="false" customHeight="false" outlineLevel="0" collapsed="false">
      <c r="B2" s="9" t="n">
        <v>45838</v>
      </c>
      <c r="C2" s="2" t="n">
        <v>0</v>
      </c>
      <c r="D2" s="10" t="n">
        <v>1</v>
      </c>
      <c r="E2" s="10" t="n">
        <v>2</v>
      </c>
      <c r="F2" s="10" t="n">
        <v>3</v>
      </c>
      <c r="G2" s="10" t="n">
        <v>4</v>
      </c>
      <c r="H2" s="10" t="n">
        <v>5</v>
      </c>
      <c r="I2" s="10" t="n">
        <v>6</v>
      </c>
      <c r="J2" s="10" t="n">
        <v>7</v>
      </c>
      <c r="K2" s="10" t="n">
        <v>8</v>
      </c>
      <c r="L2" s="10" t="n">
        <v>9</v>
      </c>
      <c r="M2" s="11" t="n">
        <v>45868</v>
      </c>
      <c r="N2" s="10" t="n">
        <v>1</v>
      </c>
      <c r="O2" s="10" t="n">
        <v>2</v>
      </c>
      <c r="P2" s="10" t="n">
        <v>3</v>
      </c>
      <c r="Q2" s="10" t="n">
        <v>4</v>
      </c>
      <c r="R2" s="10" t="n">
        <v>5</v>
      </c>
      <c r="S2" s="10" t="n">
        <v>6</v>
      </c>
      <c r="T2" s="10" t="n">
        <v>7</v>
      </c>
      <c r="U2" s="10" t="n">
        <v>8</v>
      </c>
      <c r="V2" s="11" t="n">
        <v>45899</v>
      </c>
    </row>
    <row r="3" customFormat="false" ht="14.25" hidden="false" customHeight="false" outlineLevel="0" collapsed="false">
      <c r="A3" s="12" t="s">
        <v>2</v>
      </c>
      <c r="B3" s="13"/>
      <c r="D3" s="14"/>
      <c r="E3" s="14"/>
      <c r="F3" s="14"/>
      <c r="G3" s="14"/>
      <c r="H3" s="14"/>
      <c r="I3" s="14"/>
      <c r="J3" s="14"/>
      <c r="K3" s="14"/>
      <c r="L3" s="14"/>
      <c r="M3" s="13"/>
      <c r="N3" s="14"/>
      <c r="O3" s="14"/>
      <c r="P3" s="14"/>
      <c r="Q3" s="14"/>
      <c r="R3" s="14"/>
      <c r="S3" s="14"/>
      <c r="T3" s="14"/>
      <c r="U3" s="14"/>
      <c r="V3" s="13"/>
      <c r="W3" s="14"/>
      <c r="X3" s="14"/>
      <c r="Y3" s="14"/>
      <c r="Z3" s="14"/>
      <c r="AA3" s="14"/>
      <c r="AB3" s="14"/>
      <c r="AC3" s="14"/>
    </row>
    <row r="4" customFormat="false" ht="14.25" hidden="false" customHeight="false" outlineLevel="0" collapsed="false">
      <c r="A4" s="15" t="s">
        <v>3</v>
      </c>
      <c r="B4" s="13"/>
      <c r="C4" s="16" t="n">
        <v>80000</v>
      </c>
      <c r="D4" s="17" t="n">
        <v>50000</v>
      </c>
      <c r="E4" s="17" t="n">
        <v>-22200</v>
      </c>
      <c r="F4" s="17" t="n">
        <v>-100000</v>
      </c>
      <c r="G4" s="17" t="n">
        <v>-1200</v>
      </c>
      <c r="H4" s="17" t="n">
        <v>122000</v>
      </c>
      <c r="I4" s="17" t="n">
        <v>-1000</v>
      </c>
      <c r="J4" s="14"/>
      <c r="K4" s="14"/>
      <c r="L4" s="14"/>
      <c r="M4" s="18" t="n">
        <f aca="false">SUM(B4:L4)</f>
        <v>127600</v>
      </c>
      <c r="N4" s="19" t="n">
        <f aca="false">50000-1000-M22</f>
        <v>34594</v>
      </c>
      <c r="O4" s="17" t="n">
        <v>-155000</v>
      </c>
      <c r="P4" s="17" t="n">
        <v>156000</v>
      </c>
      <c r="Q4" s="17" t="n">
        <v>250</v>
      </c>
      <c r="R4" s="17" t="n">
        <v>-1000</v>
      </c>
      <c r="S4" s="14"/>
      <c r="T4" s="17" t="n">
        <v>-51000</v>
      </c>
      <c r="U4" s="19" t="n">
        <f aca="false">-M20</f>
        <v>-15435</v>
      </c>
      <c r="V4" s="18" t="n">
        <f aca="false">SUM(M4:U4)</f>
        <v>96009</v>
      </c>
      <c r="W4" s="14"/>
      <c r="X4" s="14"/>
      <c r="Y4" s="14"/>
      <c r="Z4" s="14"/>
      <c r="AA4" s="14"/>
      <c r="AB4" s="14"/>
      <c r="AC4" s="14"/>
    </row>
    <row r="5" customFormat="false" ht="14.25" hidden="false" customHeight="false" outlineLevel="0" collapsed="false">
      <c r="A5" s="15" t="s">
        <v>4</v>
      </c>
      <c r="B5" s="13"/>
      <c r="D5" s="14"/>
      <c r="E5" s="14"/>
      <c r="F5" s="14"/>
      <c r="G5" s="14"/>
      <c r="H5" s="17" t="n">
        <v>50000</v>
      </c>
      <c r="I5" s="14"/>
      <c r="J5" s="14"/>
      <c r="K5" s="14"/>
      <c r="L5" s="14"/>
      <c r="M5" s="18" t="n">
        <f aca="false">SUM(B5:L5)</f>
        <v>50000</v>
      </c>
      <c r="N5" s="17" t="n">
        <v>-50000</v>
      </c>
      <c r="O5" s="14"/>
      <c r="P5" s="17" t="n">
        <v>24000</v>
      </c>
      <c r="Q5" s="14"/>
      <c r="R5" s="14"/>
      <c r="S5" s="14"/>
      <c r="T5" s="14"/>
      <c r="U5" s="14"/>
      <c r="V5" s="18" t="n">
        <f aca="false">SUM(M5:U5)</f>
        <v>24000</v>
      </c>
      <c r="W5" s="14"/>
      <c r="X5" s="14"/>
      <c r="Y5" s="14"/>
      <c r="Z5" s="14"/>
      <c r="AA5" s="14"/>
      <c r="AB5" s="14"/>
      <c r="AC5" s="14"/>
    </row>
    <row r="6" customFormat="false" ht="14.25" hidden="false" customHeight="false" outlineLevel="0" collapsed="false">
      <c r="A6" s="15" t="s">
        <v>5</v>
      </c>
      <c r="B6" s="13"/>
      <c r="D6" s="14"/>
      <c r="E6" s="14"/>
      <c r="F6" s="17" t="n">
        <v>100000</v>
      </c>
      <c r="G6" s="14"/>
      <c r="H6" s="17" t="n">
        <v>-96000</v>
      </c>
      <c r="I6" s="14"/>
      <c r="J6" s="14"/>
      <c r="K6" s="14"/>
      <c r="L6" s="14"/>
      <c r="M6" s="18" t="n">
        <f aca="false">SUM(B6:L6)</f>
        <v>4000</v>
      </c>
      <c r="N6" s="14"/>
      <c r="O6" s="17" t="n">
        <v>170000</v>
      </c>
      <c r="P6" s="17" t="n">
        <v>-151000</v>
      </c>
      <c r="Q6" s="14"/>
      <c r="R6" s="14"/>
      <c r="S6" s="14"/>
      <c r="T6" s="14"/>
      <c r="U6" s="14"/>
      <c r="V6" s="18" t="n">
        <f aca="false">SUM(M6:U6)</f>
        <v>23000</v>
      </c>
      <c r="W6" s="14"/>
      <c r="X6" s="14"/>
      <c r="Y6" s="14"/>
      <c r="Z6" s="14"/>
      <c r="AA6" s="14"/>
      <c r="AB6" s="14"/>
      <c r="AC6" s="14"/>
    </row>
    <row r="7" customFormat="false" ht="14.25" hidden="false" customHeight="false" outlineLevel="0" collapsed="false">
      <c r="A7" s="15" t="s">
        <v>6</v>
      </c>
      <c r="B7" s="13"/>
      <c r="D7" s="14"/>
      <c r="E7" s="14"/>
      <c r="F7" s="14"/>
      <c r="G7" s="14"/>
      <c r="H7" s="14"/>
      <c r="I7" s="14"/>
      <c r="J7" s="14"/>
      <c r="K7" s="14"/>
      <c r="L7" s="14"/>
      <c r="M7" s="18" t="n">
        <f aca="false">SUM(B7:L7)</f>
        <v>0</v>
      </c>
      <c r="N7" s="14"/>
      <c r="O7" s="14"/>
      <c r="P7" s="14"/>
      <c r="Q7" s="14"/>
      <c r="R7" s="14"/>
      <c r="S7" s="14"/>
      <c r="T7" s="14"/>
      <c r="U7" s="14"/>
      <c r="V7" s="18" t="n">
        <f aca="false">SUM(M7:U7)</f>
        <v>0</v>
      </c>
      <c r="W7" s="14"/>
      <c r="X7" s="14"/>
      <c r="Y7" s="14"/>
      <c r="Z7" s="14"/>
      <c r="AA7" s="14"/>
      <c r="AB7" s="14"/>
      <c r="AC7" s="14"/>
    </row>
    <row r="8" customFormat="false" ht="14.25" hidden="false" customHeight="false" outlineLevel="0" collapsed="false">
      <c r="A8" s="15" t="s">
        <v>7</v>
      </c>
      <c r="B8" s="13"/>
      <c r="D8" s="14"/>
      <c r="E8" s="17" t="n">
        <v>9000</v>
      </c>
      <c r="F8" s="14"/>
      <c r="G8" s="17" t="n">
        <v>1200</v>
      </c>
      <c r="H8" s="14"/>
      <c r="I8" s="14"/>
      <c r="J8" s="17" t="n">
        <v>-1500</v>
      </c>
      <c r="K8" s="14"/>
      <c r="L8" s="14"/>
      <c r="M8" s="18" t="n">
        <f aca="false">SUM(B8:L8)</f>
        <v>8700</v>
      </c>
      <c r="N8" s="14"/>
      <c r="O8" s="14"/>
      <c r="P8" s="14"/>
      <c r="Q8" s="14"/>
      <c r="R8" s="14"/>
      <c r="S8" s="17" t="n">
        <v>-1200</v>
      </c>
      <c r="T8" s="14"/>
      <c r="U8" s="17" t="n">
        <v>-1500</v>
      </c>
      <c r="V8" s="18" t="n">
        <f aca="false">SUM(M8:U8)</f>
        <v>6000</v>
      </c>
      <c r="W8" s="14"/>
      <c r="X8" s="14"/>
      <c r="Y8" s="14"/>
      <c r="Z8" s="14"/>
      <c r="AA8" s="14"/>
      <c r="AB8" s="14"/>
      <c r="AC8" s="14"/>
    </row>
    <row r="9" customFormat="false" ht="14.25" hidden="false" customHeight="false" outlineLevel="0" collapsed="false">
      <c r="A9" s="12" t="s">
        <v>8</v>
      </c>
      <c r="B9" s="13"/>
      <c r="D9" s="14"/>
      <c r="E9" s="14"/>
      <c r="F9" s="14"/>
      <c r="G9" s="14"/>
      <c r="H9" s="14"/>
      <c r="I9" s="14"/>
      <c r="J9" s="14"/>
      <c r="K9" s="14"/>
      <c r="L9" s="14"/>
      <c r="M9" s="13"/>
      <c r="N9" s="14"/>
      <c r="O9" s="14"/>
      <c r="P9" s="14"/>
      <c r="Q9" s="14"/>
      <c r="R9" s="14"/>
      <c r="S9" s="14"/>
      <c r="T9" s="14"/>
      <c r="U9" s="14"/>
      <c r="V9" s="13"/>
      <c r="W9" s="14"/>
      <c r="X9" s="14"/>
      <c r="Y9" s="14"/>
      <c r="Z9" s="14"/>
      <c r="AA9" s="14"/>
      <c r="AB9" s="14"/>
      <c r="AC9" s="14"/>
    </row>
    <row r="10" customFormat="false" ht="14.25" hidden="false" customHeight="false" outlineLevel="0" collapsed="false">
      <c r="A10" s="15" t="s">
        <v>9</v>
      </c>
      <c r="B10" s="13"/>
      <c r="D10" s="14"/>
      <c r="E10" s="17" t="n">
        <v>13200</v>
      </c>
      <c r="F10" s="14"/>
      <c r="G10" s="14"/>
      <c r="H10" s="14"/>
      <c r="I10" s="14"/>
      <c r="J10" s="14"/>
      <c r="K10" s="14"/>
      <c r="L10" s="14"/>
      <c r="M10" s="18" t="n">
        <f aca="false">SUM(B10:L10)</f>
        <v>13200</v>
      </c>
      <c r="N10" s="14"/>
      <c r="O10" s="14"/>
      <c r="P10" s="14"/>
      <c r="Q10" s="14"/>
      <c r="R10" s="14"/>
      <c r="S10" s="14"/>
      <c r="T10" s="14"/>
      <c r="U10" s="14"/>
      <c r="V10" s="18" t="n">
        <f aca="false">SUM(M10:U10)</f>
        <v>13200</v>
      </c>
      <c r="W10" s="14"/>
      <c r="X10" s="14"/>
      <c r="Y10" s="14"/>
      <c r="Z10" s="14"/>
      <c r="AA10" s="14"/>
      <c r="AB10" s="14"/>
      <c r="AC10" s="14"/>
    </row>
    <row r="11" customFormat="false" ht="14.25" hidden="false" customHeight="false" outlineLevel="0" collapsed="false">
      <c r="A11" s="15" t="s">
        <v>10</v>
      </c>
      <c r="B11" s="13"/>
      <c r="D11" s="14"/>
      <c r="E11" s="14"/>
      <c r="F11" s="14"/>
      <c r="G11" s="14"/>
      <c r="H11" s="14"/>
      <c r="I11" s="14"/>
      <c r="J11" s="17" t="n">
        <v>-550</v>
      </c>
      <c r="K11" s="14"/>
      <c r="L11" s="14"/>
      <c r="M11" s="18" t="n">
        <f aca="false">SUM(B11:L11)</f>
        <v>-550</v>
      </c>
      <c r="N11" s="14"/>
      <c r="O11" s="14"/>
      <c r="P11" s="14"/>
      <c r="Q11" s="14"/>
      <c r="R11" s="14"/>
      <c r="S11" s="14"/>
      <c r="T11" s="14"/>
      <c r="U11" s="17" t="n">
        <v>-550</v>
      </c>
      <c r="V11" s="18" t="n">
        <f aca="false">SUM(M11:U11)</f>
        <v>-1100</v>
      </c>
      <c r="W11" s="14"/>
      <c r="X11" s="14"/>
      <c r="Y11" s="14"/>
      <c r="Z11" s="14"/>
      <c r="AA11" s="14"/>
      <c r="AB11" s="14"/>
      <c r="AC11" s="14"/>
    </row>
    <row r="12" customFormat="false" ht="14.25" hidden="false" customHeight="false" outlineLevel="0" collapsed="false">
      <c r="A12" s="15" t="s">
        <v>11</v>
      </c>
      <c r="B12" s="13"/>
      <c r="D12" s="14"/>
      <c r="E12" s="14"/>
      <c r="F12" s="14"/>
      <c r="G12" s="14"/>
      <c r="H12" s="14"/>
      <c r="I12" s="14"/>
      <c r="J12" s="14"/>
      <c r="K12" s="14"/>
      <c r="L12" s="14"/>
      <c r="M12" s="18" t="n">
        <f aca="false">SUM(B12:L12)</f>
        <v>0</v>
      </c>
      <c r="N12" s="14"/>
      <c r="O12" s="14"/>
      <c r="P12" s="14"/>
      <c r="Q12" s="14"/>
      <c r="R12" s="14"/>
      <c r="S12" s="14"/>
      <c r="T12" s="14"/>
      <c r="U12" s="14"/>
      <c r="V12" s="18" t="n">
        <f aca="false">SUM(M12:U12)</f>
        <v>0</v>
      </c>
      <c r="W12" s="14"/>
      <c r="X12" s="14"/>
      <c r="Y12" s="14"/>
      <c r="Z12" s="14"/>
      <c r="AA12" s="14"/>
      <c r="AB12" s="14"/>
      <c r="AC12" s="14"/>
    </row>
    <row r="13" customFormat="false" ht="14.25" hidden="false" customHeight="false" outlineLevel="0" collapsed="false">
      <c r="A13" s="15" t="s">
        <v>12</v>
      </c>
      <c r="B13" s="13"/>
      <c r="D13" s="14"/>
      <c r="E13" s="14"/>
      <c r="F13" s="14"/>
      <c r="G13" s="14"/>
      <c r="H13" s="14"/>
      <c r="I13" s="14"/>
      <c r="J13" s="14"/>
      <c r="K13" s="14"/>
      <c r="L13" s="14"/>
      <c r="M13" s="18" t="n">
        <f aca="false">SUM(B13:L13)</f>
        <v>0</v>
      </c>
      <c r="N13" s="14"/>
      <c r="O13" s="14"/>
      <c r="P13" s="14"/>
      <c r="Q13" s="14"/>
      <c r="R13" s="14"/>
      <c r="S13" s="14"/>
      <c r="T13" s="14"/>
      <c r="U13" s="14"/>
      <c r="V13" s="18" t="n">
        <f aca="false">SUM(M13:U13)</f>
        <v>0</v>
      </c>
      <c r="W13" s="14"/>
      <c r="X13" s="14"/>
      <c r="Y13" s="14"/>
      <c r="Z13" s="14"/>
      <c r="AA13" s="14"/>
      <c r="AB13" s="14"/>
      <c r="AC13" s="14"/>
    </row>
    <row r="14" customFormat="false" ht="14.25" hidden="false" customHeight="false" outlineLevel="0" collapsed="false">
      <c r="A14" s="15" t="s">
        <v>13</v>
      </c>
      <c r="B14" s="13"/>
      <c r="D14" s="14"/>
      <c r="E14" s="14"/>
      <c r="F14" s="14"/>
      <c r="G14" s="14"/>
      <c r="H14" s="14"/>
      <c r="I14" s="14"/>
      <c r="J14" s="14"/>
      <c r="K14" s="14"/>
      <c r="L14" s="14"/>
      <c r="M14" s="18" t="n">
        <f aca="false">SUM(B14:L14)</f>
        <v>0</v>
      </c>
      <c r="N14" s="14"/>
      <c r="O14" s="14"/>
      <c r="P14" s="14"/>
      <c r="Q14" s="14"/>
      <c r="R14" s="14"/>
      <c r="S14" s="14"/>
      <c r="T14" s="14"/>
      <c r="U14" s="14"/>
      <c r="V14" s="18" t="n">
        <f aca="false">SUM(M14:U14)</f>
        <v>0</v>
      </c>
      <c r="W14" s="14"/>
      <c r="X14" s="14"/>
      <c r="Y14" s="14"/>
      <c r="Z14" s="14"/>
      <c r="AA14" s="14"/>
      <c r="AB14" s="14"/>
      <c r="AC14" s="14"/>
    </row>
    <row r="15" s="3" customFormat="true" ht="14.25" hidden="false" customHeight="false" outlineLevel="0" collapsed="false">
      <c r="A15" s="20" t="s">
        <v>14</v>
      </c>
      <c r="B15" s="21" t="n">
        <f aca="false">SUM(B4:B14)</f>
        <v>0</v>
      </c>
      <c r="C15" s="22" t="n">
        <f aca="false">SUM(C4:C14)</f>
        <v>80000</v>
      </c>
      <c r="D15" s="21" t="n">
        <f aca="false">SUM(D4:D14)</f>
        <v>50000</v>
      </c>
      <c r="E15" s="21" t="n">
        <f aca="false">SUM(E4:E14)</f>
        <v>0</v>
      </c>
      <c r="F15" s="21" t="n">
        <f aca="false">SUM(F4:F14)</f>
        <v>0</v>
      </c>
      <c r="G15" s="21" t="n">
        <f aca="false">SUM(G4:G14)</f>
        <v>0</v>
      </c>
      <c r="H15" s="21" t="n">
        <f aca="false">SUM(H4:H14)</f>
        <v>76000</v>
      </c>
      <c r="I15" s="21" t="n">
        <f aca="false">SUM(I4:I14)</f>
        <v>-1000</v>
      </c>
      <c r="J15" s="21" t="n">
        <f aca="false">SUM(J4:J14)</f>
        <v>-2050</v>
      </c>
      <c r="K15" s="21" t="n">
        <f aca="false">SUM(K4:K14)</f>
        <v>0</v>
      </c>
      <c r="L15" s="21" t="n">
        <f aca="false">SUM(L4:L14)</f>
        <v>0</v>
      </c>
      <c r="M15" s="21" t="n">
        <f aca="false">SUM(M4:M14)</f>
        <v>202950</v>
      </c>
      <c r="N15" s="21" t="n">
        <f aca="false">SUM(N4:N14)</f>
        <v>-15406</v>
      </c>
      <c r="O15" s="21" t="n">
        <f aca="false">SUM(O4:O14)</f>
        <v>15000</v>
      </c>
      <c r="P15" s="21" t="n">
        <f aca="false">SUM(P4:P14)</f>
        <v>29000</v>
      </c>
      <c r="Q15" s="21" t="n">
        <f aca="false">SUM(Q4:Q14)</f>
        <v>250</v>
      </c>
      <c r="R15" s="21" t="n">
        <f aca="false">SUM(R4:R14)</f>
        <v>-1000</v>
      </c>
      <c r="S15" s="21" t="n">
        <f aca="false">SUM(S4:S14)</f>
        <v>-1200</v>
      </c>
      <c r="T15" s="21" t="n">
        <f aca="false">SUM(T4:T14)</f>
        <v>-51000</v>
      </c>
      <c r="U15" s="21" t="n">
        <f aca="false">SUM(U4:U14)</f>
        <v>-17485</v>
      </c>
      <c r="V15" s="21" t="n">
        <f aca="false">SUM(V4:V14)</f>
        <v>161109</v>
      </c>
      <c r="W15" s="14"/>
      <c r="X15" s="14"/>
      <c r="Y15" s="14"/>
      <c r="Z15" s="14"/>
      <c r="AA15" s="14"/>
      <c r="AB15" s="14"/>
      <c r="AC15" s="14"/>
      <c r="AD15" s="1"/>
    </row>
    <row r="16" customFormat="false" ht="14.25" hidden="false" customHeight="false" outlineLevel="0" collapsed="false">
      <c r="A16" s="23" t="s">
        <v>15</v>
      </c>
      <c r="B16" s="13"/>
      <c r="D16" s="14"/>
      <c r="E16" s="14"/>
      <c r="F16" s="14"/>
      <c r="G16" s="14"/>
      <c r="H16" s="14"/>
      <c r="I16" s="14"/>
      <c r="J16" s="14"/>
      <c r="K16" s="14"/>
      <c r="L16" s="14"/>
      <c r="M16" s="13"/>
      <c r="N16" s="14"/>
      <c r="O16" s="14"/>
      <c r="P16" s="14"/>
      <c r="Q16" s="14"/>
      <c r="R16" s="14"/>
      <c r="S16" s="14"/>
      <c r="T16" s="14"/>
      <c r="U16" s="14"/>
      <c r="V16" s="13"/>
      <c r="W16" s="14"/>
      <c r="X16" s="14"/>
      <c r="Y16" s="14"/>
      <c r="Z16" s="14"/>
      <c r="AA16" s="14"/>
      <c r="AB16" s="14"/>
      <c r="AC16" s="14"/>
    </row>
    <row r="17" customFormat="false" ht="14.25" hidden="false" customHeight="false" outlineLevel="0" collapsed="false">
      <c r="A17" s="12" t="s">
        <v>16</v>
      </c>
      <c r="B17" s="13"/>
      <c r="D17" s="14"/>
      <c r="E17" s="14"/>
      <c r="F17" s="14"/>
      <c r="G17" s="14"/>
      <c r="H17" s="14"/>
      <c r="I17" s="14"/>
      <c r="J17" s="14"/>
      <c r="K17" s="14"/>
      <c r="L17" s="14"/>
      <c r="M17" s="13"/>
      <c r="N17" s="14"/>
      <c r="O17" s="14"/>
      <c r="P17" s="14"/>
      <c r="Q17" s="14"/>
      <c r="R17" s="14"/>
      <c r="S17" s="14"/>
      <c r="T17" s="14"/>
      <c r="U17" s="14"/>
      <c r="V17" s="13"/>
      <c r="W17" s="14"/>
      <c r="X17" s="14"/>
      <c r="Y17" s="14"/>
      <c r="Z17" s="14"/>
      <c r="AA17" s="14"/>
      <c r="AB17" s="14"/>
      <c r="AC17" s="14"/>
    </row>
    <row r="18" customFormat="false" ht="14.25" hidden="false" customHeight="false" outlineLevel="0" collapsed="false">
      <c r="A18" s="15" t="s">
        <v>17</v>
      </c>
      <c r="B18" s="13"/>
      <c r="D18" s="14"/>
      <c r="E18" s="14"/>
      <c r="F18" s="14"/>
      <c r="G18" s="14"/>
      <c r="H18" s="14"/>
      <c r="I18" s="14"/>
      <c r="J18" s="14"/>
      <c r="K18" s="14"/>
      <c r="L18" s="14"/>
      <c r="M18" s="18" t="n">
        <f aca="false">SUM(B18:L18)</f>
        <v>0</v>
      </c>
      <c r="N18" s="14"/>
      <c r="O18" s="17" t="n">
        <v>15000</v>
      </c>
      <c r="P18" s="14"/>
      <c r="Q18" s="14"/>
      <c r="R18" s="14"/>
      <c r="S18" s="14"/>
      <c r="T18" s="14"/>
      <c r="U18" s="14"/>
      <c r="V18" s="18" t="n">
        <f aca="false">SUM(M18:U18)</f>
        <v>15000</v>
      </c>
      <c r="W18" s="14"/>
      <c r="X18" s="14"/>
      <c r="Y18" s="14"/>
      <c r="Z18" s="14"/>
      <c r="AA18" s="14"/>
      <c r="AB18" s="14"/>
      <c r="AC18" s="14"/>
    </row>
    <row r="19" customFormat="false" ht="14.25" hidden="false" customHeight="false" outlineLevel="0" collapsed="false">
      <c r="A19" s="15" t="s">
        <v>18</v>
      </c>
      <c r="B19" s="13"/>
      <c r="D19" s="14"/>
      <c r="E19" s="14"/>
      <c r="F19" s="14"/>
      <c r="G19" s="14"/>
      <c r="H19" s="14"/>
      <c r="I19" s="17" t="n">
        <v>1000</v>
      </c>
      <c r="J19" s="14"/>
      <c r="K19" s="14"/>
      <c r="L19" s="14"/>
      <c r="M19" s="18" t="n">
        <f aca="false">SUM(B19:L19)</f>
        <v>1000</v>
      </c>
      <c r="N19" s="17" t="n">
        <v>-1000</v>
      </c>
      <c r="O19" s="14"/>
      <c r="P19" s="14"/>
      <c r="Q19" s="14"/>
      <c r="R19" s="17" t="n">
        <v>1000</v>
      </c>
      <c r="S19" s="14"/>
      <c r="T19" s="14"/>
      <c r="U19" s="14"/>
      <c r="V19" s="18" t="n">
        <f aca="false">SUM(M19:U19)</f>
        <v>1000</v>
      </c>
      <c r="W19" s="14"/>
      <c r="X19" s="14"/>
      <c r="Y19" s="14"/>
      <c r="Z19" s="14"/>
      <c r="AA19" s="14"/>
      <c r="AB19" s="14"/>
      <c r="AC19" s="14"/>
    </row>
    <row r="20" customFormat="false" ht="14.25" hidden="false" customHeight="false" outlineLevel="0" collapsed="false">
      <c r="A20" s="15" t="s">
        <v>19</v>
      </c>
      <c r="B20" s="13"/>
      <c r="D20" s="14"/>
      <c r="E20" s="14"/>
      <c r="F20" s="14"/>
      <c r="G20" s="14"/>
      <c r="H20" s="14"/>
      <c r="I20" s="14"/>
      <c r="J20" s="14"/>
      <c r="K20" s="19" t="n">
        <f aca="false">0.3*M45</f>
        <v>15435</v>
      </c>
      <c r="L20" s="14"/>
      <c r="M20" s="18" t="n">
        <f aca="false">SUM(B20:L20)</f>
        <v>15435</v>
      </c>
      <c r="N20" s="14"/>
      <c r="O20" s="14"/>
      <c r="P20" s="14"/>
      <c r="Q20" s="14"/>
      <c r="R20" s="14"/>
      <c r="S20" s="14"/>
      <c r="T20" s="14"/>
      <c r="U20" s="19" t="n">
        <f aca="false">-M20-U46</f>
        <v>-2460</v>
      </c>
      <c r="V20" s="18" t="n">
        <f aca="false">SUM(M20:U20)</f>
        <v>12975</v>
      </c>
      <c r="W20" s="14"/>
      <c r="X20" s="14"/>
      <c r="Y20" s="14"/>
      <c r="Z20" s="14"/>
      <c r="AA20" s="14"/>
      <c r="AB20" s="14"/>
      <c r="AC20" s="14"/>
    </row>
    <row r="21" customFormat="false" ht="14.25" hidden="false" customHeight="false" outlineLevel="0" collapsed="false">
      <c r="A21" s="15" t="s">
        <v>20</v>
      </c>
      <c r="B21" s="13"/>
      <c r="D21" s="14"/>
      <c r="E21" s="14"/>
      <c r="F21" s="14"/>
      <c r="G21" s="14"/>
      <c r="H21" s="17" t="n">
        <v>20000</v>
      </c>
      <c r="I21" s="14"/>
      <c r="J21" s="14"/>
      <c r="K21" s="14"/>
      <c r="L21" s="14"/>
      <c r="M21" s="18" t="n">
        <f aca="false">SUM(B21:L21)</f>
        <v>20000</v>
      </c>
      <c r="N21" s="14"/>
      <c r="O21" s="14"/>
      <c r="P21" s="17" t="n">
        <v>-20000</v>
      </c>
      <c r="Q21" s="17" t="n">
        <v>250</v>
      </c>
      <c r="R21" s="14"/>
      <c r="S21" s="14"/>
      <c r="T21" s="14"/>
      <c r="U21" s="14"/>
      <c r="V21" s="18" t="n">
        <f aca="false">SUM(M21:U21)</f>
        <v>250</v>
      </c>
      <c r="W21" s="14"/>
      <c r="X21" s="14"/>
      <c r="Y21" s="14"/>
      <c r="Z21" s="14"/>
      <c r="AA21" s="14"/>
      <c r="AB21" s="14"/>
      <c r="AC21" s="14"/>
    </row>
    <row r="22" customFormat="false" ht="14.25" hidden="false" customHeight="false" outlineLevel="0" collapsed="false">
      <c r="A22" s="0" t="s">
        <v>21</v>
      </c>
      <c r="L22" s="24" t="n">
        <f aca="false">0.4*M47</f>
        <v>14406</v>
      </c>
      <c r="M22" s="24" t="n">
        <f aca="false">SUM(B22:L22)</f>
        <v>14406</v>
      </c>
      <c r="N22" s="24" t="n">
        <f aca="false">-M22</f>
        <v>-14406</v>
      </c>
      <c r="V22" s="24" t="n">
        <f aca="false">SUM(M22:U22)</f>
        <v>0</v>
      </c>
    </row>
    <row r="23" customFormat="false" ht="14.25" hidden="false" customHeight="false" outlineLevel="0" collapsed="false">
      <c r="A23" s="0" t="s">
        <v>22</v>
      </c>
      <c r="J23" s="16" t="n">
        <v>500</v>
      </c>
      <c r="M23" s="24" t="n">
        <f aca="false">SUM(B23:L23)</f>
        <v>500</v>
      </c>
      <c r="T23" s="16" t="n">
        <v>-500</v>
      </c>
      <c r="V23" s="24" t="n">
        <f aca="false">SUM(M23:U23)</f>
        <v>0</v>
      </c>
    </row>
    <row r="24" customFormat="false" ht="14.25" hidden="false" customHeight="false" outlineLevel="0" collapsed="false">
      <c r="A24" s="0" t="s">
        <v>23</v>
      </c>
      <c r="D24" s="16" t="n">
        <v>10000</v>
      </c>
      <c r="M24" s="24" t="n">
        <f aca="false">SUM(B24:L24)</f>
        <v>10000</v>
      </c>
      <c r="T24" s="16" t="n">
        <v>-10000</v>
      </c>
      <c r="V24" s="24" t="n">
        <f aca="false">SUM(M24:U24)</f>
        <v>0</v>
      </c>
    </row>
    <row r="25" customFormat="false" ht="14.25" hidden="false" customHeight="false" outlineLevel="0" collapsed="false">
      <c r="A25" s="12" t="s">
        <v>24</v>
      </c>
      <c r="B25" s="13"/>
      <c r="D25" s="14"/>
      <c r="E25" s="14"/>
      <c r="F25" s="14"/>
      <c r="G25" s="14"/>
      <c r="H25" s="14"/>
      <c r="I25" s="14"/>
      <c r="J25" s="14"/>
      <c r="K25" s="14"/>
      <c r="L25" s="14"/>
      <c r="M25" s="13"/>
      <c r="N25" s="14"/>
      <c r="O25" s="14"/>
      <c r="P25" s="14"/>
      <c r="Q25" s="14"/>
      <c r="R25" s="14"/>
      <c r="S25" s="14"/>
      <c r="T25" s="14"/>
      <c r="U25" s="14"/>
      <c r="V25" s="13"/>
      <c r="W25" s="14"/>
      <c r="X25" s="14"/>
      <c r="Y25" s="14"/>
      <c r="Z25" s="14"/>
      <c r="AA25" s="14"/>
      <c r="AB25" s="14"/>
      <c r="AC25" s="14"/>
    </row>
    <row r="26" customFormat="false" ht="14.25" hidden="false" customHeight="false" outlineLevel="0" collapsed="false">
      <c r="A26" s="15" t="s">
        <v>25</v>
      </c>
      <c r="B26" s="13"/>
      <c r="D26" s="17" t="n">
        <v>40000</v>
      </c>
      <c r="E26" s="14"/>
      <c r="F26" s="14"/>
      <c r="G26" s="14"/>
      <c r="H26" s="14"/>
      <c r="I26" s="14"/>
      <c r="J26" s="14"/>
      <c r="K26" s="14"/>
      <c r="L26" s="14"/>
      <c r="M26" s="18" t="n">
        <f aca="false">SUM(B26:L26)</f>
        <v>40000</v>
      </c>
      <c r="N26" s="14"/>
      <c r="O26" s="14"/>
      <c r="P26" s="14"/>
      <c r="Q26" s="14"/>
      <c r="R26" s="14"/>
      <c r="S26" s="14"/>
      <c r="T26" s="17" t="n">
        <v>-40000</v>
      </c>
      <c r="U26" s="14"/>
      <c r="V26" s="18" t="n">
        <f aca="false">SUM(M26:U26)</f>
        <v>0</v>
      </c>
      <c r="W26" s="14"/>
      <c r="X26" s="14"/>
      <c r="Y26" s="14"/>
      <c r="Z26" s="14"/>
      <c r="AA26" s="14"/>
      <c r="AB26" s="14"/>
      <c r="AC26" s="14"/>
    </row>
    <row r="27" customFormat="false" ht="14.25" hidden="false" customHeight="false" outlineLevel="0" collapsed="false">
      <c r="A27" s="15" t="s">
        <v>26</v>
      </c>
      <c r="B27" s="13"/>
      <c r="D27" s="14"/>
      <c r="E27" s="14"/>
      <c r="F27" s="14"/>
      <c r="G27" s="14"/>
      <c r="H27" s="14"/>
      <c r="I27" s="14"/>
      <c r="J27" s="14"/>
      <c r="K27" s="14"/>
      <c r="L27" s="14"/>
      <c r="M27" s="18" t="n">
        <f aca="false">SUM(B27:L27)</f>
        <v>0</v>
      </c>
      <c r="N27" s="14"/>
      <c r="O27" s="14"/>
      <c r="P27" s="14"/>
      <c r="Q27" s="14"/>
      <c r="R27" s="14"/>
      <c r="S27" s="14"/>
      <c r="T27" s="14"/>
      <c r="U27" s="14"/>
      <c r="V27" s="18" t="n">
        <f aca="false">SUM(M27:U27)</f>
        <v>0</v>
      </c>
      <c r="W27" s="14"/>
      <c r="X27" s="14"/>
      <c r="Y27" s="14"/>
      <c r="Z27" s="14"/>
      <c r="AA27" s="14"/>
      <c r="AB27" s="14"/>
      <c r="AC27" s="14"/>
    </row>
    <row r="28" customFormat="false" ht="14.25" hidden="false" customHeight="false" outlineLevel="0" collapsed="false">
      <c r="A28" s="12" t="s">
        <v>27</v>
      </c>
      <c r="B28" s="13"/>
      <c r="D28" s="14"/>
      <c r="E28" s="14"/>
      <c r="F28" s="14"/>
      <c r="G28" s="14"/>
      <c r="H28" s="14"/>
      <c r="I28" s="14"/>
      <c r="J28" s="14"/>
      <c r="K28" s="14"/>
      <c r="L28" s="14"/>
      <c r="M28" s="13"/>
      <c r="N28" s="14"/>
      <c r="O28" s="14"/>
      <c r="P28" s="14"/>
      <c r="Q28" s="14"/>
      <c r="R28" s="14"/>
      <c r="S28" s="14"/>
      <c r="T28" s="14"/>
      <c r="U28" s="14"/>
      <c r="V28" s="13"/>
      <c r="W28" s="14"/>
      <c r="X28" s="14"/>
      <c r="Y28" s="14"/>
      <c r="Z28" s="14"/>
      <c r="AA28" s="14"/>
      <c r="AB28" s="14"/>
      <c r="AC28" s="14"/>
    </row>
    <row r="29" customFormat="false" ht="14.25" hidden="false" customHeight="false" outlineLevel="0" collapsed="false">
      <c r="A29" s="15" t="s">
        <v>28</v>
      </c>
      <c r="B29" s="13"/>
      <c r="C29" s="16" t="n">
        <v>80000</v>
      </c>
      <c r="D29" s="14"/>
      <c r="E29" s="14"/>
      <c r="F29" s="14"/>
      <c r="G29" s="14"/>
      <c r="H29" s="14"/>
      <c r="I29" s="14"/>
      <c r="J29" s="14"/>
      <c r="K29" s="14"/>
      <c r="L29" s="14"/>
      <c r="M29" s="18" t="n">
        <f aca="false">SUM(B29:L29)</f>
        <v>80000</v>
      </c>
      <c r="N29" s="14"/>
      <c r="O29" s="14"/>
      <c r="P29" s="14"/>
      <c r="Q29" s="14"/>
      <c r="R29" s="14"/>
      <c r="S29" s="14"/>
      <c r="T29" s="14"/>
      <c r="U29" s="14"/>
      <c r="V29" s="18" t="n">
        <f aca="false">SUM(M29:U29)</f>
        <v>80000</v>
      </c>
      <c r="W29" s="14"/>
      <c r="X29" s="14"/>
      <c r="Y29" s="14"/>
      <c r="Z29" s="14"/>
      <c r="AA29" s="14"/>
      <c r="AB29" s="14"/>
      <c r="AC29" s="14"/>
    </row>
    <row r="30" s="25" customFormat="true" ht="14.25" hidden="false" customHeight="false" outlineLevel="0" collapsed="false">
      <c r="A30" s="15" t="s">
        <v>29</v>
      </c>
      <c r="B30" s="13"/>
      <c r="D30" s="14"/>
      <c r="E30" s="14"/>
      <c r="F30" s="14"/>
      <c r="G30" s="14"/>
      <c r="H30" s="17" t="n">
        <v>56000</v>
      </c>
      <c r="I30" s="17" t="n">
        <v>-2000</v>
      </c>
      <c r="J30" s="17" t="n">
        <v>-2550</v>
      </c>
      <c r="K30" s="19" t="n">
        <f aca="false">-0.3*M45</f>
        <v>-15435</v>
      </c>
      <c r="L30" s="19" t="n">
        <f aca="false">-0.4*M47</f>
        <v>-14406</v>
      </c>
      <c r="M30" s="18" t="n">
        <f aca="false">SUM(B30:L30)</f>
        <v>21609</v>
      </c>
      <c r="N30" s="14"/>
      <c r="O30" s="14"/>
      <c r="P30" s="17" t="n">
        <v>49000</v>
      </c>
      <c r="Q30" s="14"/>
      <c r="R30" s="17" t="n">
        <v>-2000</v>
      </c>
      <c r="S30" s="17" t="n">
        <v>-1200</v>
      </c>
      <c r="T30" s="17" t="n">
        <v>-500</v>
      </c>
      <c r="U30" s="19" t="n">
        <f aca="false">-1500-550+U46</f>
        <v>-15025</v>
      </c>
      <c r="V30" s="18" t="n">
        <f aca="false">SUM(M30:U30)</f>
        <v>51884</v>
      </c>
      <c r="W30" s="14"/>
      <c r="X30" s="14"/>
      <c r="Y30" s="14"/>
      <c r="Z30" s="14"/>
      <c r="AA30" s="14"/>
      <c r="AB30" s="14"/>
      <c r="AC30" s="14"/>
    </row>
    <row r="31" customFormat="false" ht="14.25" hidden="false" customHeight="false" outlineLevel="0" collapsed="false">
      <c r="A31" s="20" t="s">
        <v>30</v>
      </c>
      <c r="B31" s="21" t="n">
        <f aca="false">SUM(B18:B30)</f>
        <v>0</v>
      </c>
      <c r="C31" s="22" t="n">
        <f aca="false">SUM(C18:C30)</f>
        <v>80000</v>
      </c>
      <c r="D31" s="21" t="n">
        <f aca="false">SUM(D18:D30)</f>
        <v>50000</v>
      </c>
      <c r="E31" s="21" t="n">
        <f aca="false">SUM(E18:E30)</f>
        <v>0</v>
      </c>
      <c r="F31" s="21" t="n">
        <f aca="false">SUM(F18:F30)</f>
        <v>0</v>
      </c>
      <c r="G31" s="21" t="n">
        <f aca="false">SUM(G18:G30)</f>
        <v>0</v>
      </c>
      <c r="H31" s="21" t="n">
        <f aca="false">SUM(H18:H30)</f>
        <v>76000</v>
      </c>
      <c r="I31" s="21" t="n">
        <f aca="false">SUM(I18:I30)</f>
        <v>-1000</v>
      </c>
      <c r="J31" s="21" t="n">
        <f aca="false">SUM(J18:J30)</f>
        <v>-2050</v>
      </c>
      <c r="K31" s="21" t="n">
        <f aca="false">SUM(K18:K30)</f>
        <v>0</v>
      </c>
      <c r="L31" s="21" t="n">
        <f aca="false">SUM(L18:L30)</f>
        <v>0</v>
      </c>
      <c r="M31" s="21" t="n">
        <f aca="false">SUM(M18:M30)</f>
        <v>202950</v>
      </c>
      <c r="N31" s="21" t="n">
        <f aca="false">SUM(N18:N30)</f>
        <v>-15406</v>
      </c>
      <c r="O31" s="21" t="n">
        <f aca="false">SUM(O18:O30)</f>
        <v>15000</v>
      </c>
      <c r="P31" s="21" t="n">
        <f aca="false">SUM(P18:P30)</f>
        <v>29000</v>
      </c>
      <c r="Q31" s="21" t="n">
        <f aca="false">SUM(Q18:Q30)</f>
        <v>250</v>
      </c>
      <c r="R31" s="21" t="n">
        <f aca="false">SUM(R18:R30)</f>
        <v>-1000</v>
      </c>
      <c r="S31" s="21" t="n">
        <f aca="false">SUM(S18:S30)</f>
        <v>-1200</v>
      </c>
      <c r="T31" s="21" t="n">
        <f aca="false">SUM(T18:T30)</f>
        <v>-51000</v>
      </c>
      <c r="U31" s="21" t="n">
        <f aca="false">SUM(U18:U30)</f>
        <v>-17485</v>
      </c>
      <c r="V31" s="21" t="n">
        <f aca="false">SUM(V18:V30)</f>
        <v>161109</v>
      </c>
      <c r="W31" s="14"/>
      <c r="X31" s="14"/>
      <c r="Y31" s="14"/>
      <c r="Z31" s="14"/>
      <c r="AA31" s="14"/>
      <c r="AB31" s="14"/>
      <c r="AC31" s="14"/>
    </row>
    <row r="32" customFormat="false" ht="14.25" hidden="false" customHeight="false" outlineLevel="0" collapsed="false">
      <c r="B32" s="14"/>
      <c r="D32" s="14"/>
      <c r="E32" s="14"/>
      <c r="F32" s="14"/>
      <c r="G32" s="14"/>
      <c r="H32" s="14"/>
      <c r="I32" s="14"/>
      <c r="J32" s="14"/>
      <c r="K32" s="14"/>
      <c r="L32" s="14"/>
      <c r="M32" s="14"/>
      <c r="N32" s="14"/>
      <c r="O32" s="14"/>
      <c r="P32" s="14"/>
      <c r="Q32" s="14"/>
      <c r="R32" s="14"/>
      <c r="S32" s="14"/>
      <c r="T32" s="14"/>
      <c r="U32" s="14"/>
      <c r="V32" s="14"/>
      <c r="W32" s="14"/>
      <c r="X32" s="14"/>
      <c r="Y32" s="14"/>
      <c r="Z32" s="14"/>
      <c r="AA32" s="14"/>
      <c r="AB32" s="14"/>
      <c r="AC32" s="14"/>
    </row>
    <row r="33" customFormat="false" ht="14.25" hidden="false" customHeight="false" outlineLevel="0" collapsed="false">
      <c r="A33" s="26" t="s">
        <v>31</v>
      </c>
      <c r="B33" s="27" t="n">
        <f aca="false">B15-B31</f>
        <v>0</v>
      </c>
      <c r="C33" s="22" t="n">
        <f aca="false">C15-C31</f>
        <v>0</v>
      </c>
      <c r="D33" s="27" t="n">
        <f aca="false">D15-D31</f>
        <v>0</v>
      </c>
      <c r="E33" s="27" t="n">
        <f aca="false">E15-E31</f>
        <v>0</v>
      </c>
      <c r="F33" s="27" t="n">
        <f aca="false">F15-F31</f>
        <v>0</v>
      </c>
      <c r="G33" s="27" t="n">
        <f aca="false">G15-G31</f>
        <v>0</v>
      </c>
      <c r="H33" s="27" t="n">
        <f aca="false">H15-H31</f>
        <v>0</v>
      </c>
      <c r="I33" s="27" t="n">
        <f aca="false">I15-I31</f>
        <v>0</v>
      </c>
      <c r="J33" s="27" t="n">
        <f aca="false">J15-J31</f>
        <v>0</v>
      </c>
      <c r="K33" s="27" t="n">
        <f aca="false">K15-K31</f>
        <v>0</v>
      </c>
      <c r="L33" s="27" t="n">
        <f aca="false">L15-L31</f>
        <v>0</v>
      </c>
      <c r="M33" s="27" t="n">
        <f aca="false">M15-M31</f>
        <v>0</v>
      </c>
      <c r="N33" s="27" t="n">
        <f aca="false">N15-N31</f>
        <v>0</v>
      </c>
      <c r="O33" s="27" t="n">
        <f aca="false">O15-O31</f>
        <v>0</v>
      </c>
      <c r="P33" s="27" t="n">
        <f aca="false">P15-P31</f>
        <v>0</v>
      </c>
      <c r="Q33" s="27" t="n">
        <f aca="false">Q15-Q31</f>
        <v>0</v>
      </c>
      <c r="R33" s="27" t="n">
        <f aca="false">R15-R31</f>
        <v>0</v>
      </c>
      <c r="S33" s="27" t="n">
        <f aca="false">S15-S31</f>
        <v>0</v>
      </c>
      <c r="T33" s="27" t="n">
        <f aca="false">T15-T31</f>
        <v>0</v>
      </c>
      <c r="U33" s="27" t="n">
        <f aca="false">U15-U31</f>
        <v>0</v>
      </c>
      <c r="V33" s="27" t="n">
        <f aca="false">V15-V31</f>
        <v>0</v>
      </c>
      <c r="W33" s="28"/>
      <c r="X33" s="28"/>
      <c r="Y33" s="28"/>
      <c r="Z33" s="28"/>
      <c r="AA33" s="28"/>
      <c r="AB33" s="28"/>
      <c r="AC33" s="28"/>
      <c r="AD33" s="29"/>
    </row>
    <row r="34" customFormat="false" ht="14.25" hidden="false" customHeight="false" outlineLevel="0" collapsed="false">
      <c r="B34" s="14"/>
      <c r="D34" s="14"/>
      <c r="E34" s="14"/>
      <c r="F34" s="14"/>
      <c r="G34" s="14"/>
      <c r="H34" s="14"/>
      <c r="I34" s="14"/>
      <c r="J34" s="14"/>
      <c r="K34" s="14"/>
      <c r="L34" s="14"/>
      <c r="M34" s="14"/>
      <c r="N34" s="14"/>
      <c r="O34" s="14"/>
      <c r="P34" s="14"/>
      <c r="Q34" s="14"/>
      <c r="R34" s="14"/>
      <c r="S34" s="14"/>
      <c r="T34" s="14"/>
      <c r="U34" s="14"/>
      <c r="V34" s="14"/>
      <c r="W34" s="14"/>
      <c r="X34" s="14"/>
      <c r="Y34" s="14"/>
      <c r="Z34" s="14"/>
      <c r="AA34" s="14"/>
      <c r="AB34" s="14"/>
      <c r="AC34" s="14"/>
    </row>
    <row r="35" customFormat="false" ht="14.25" hidden="false" customHeight="false" outlineLevel="0" collapsed="false">
      <c r="A35" s="30" t="s">
        <v>32</v>
      </c>
      <c r="B35" s="31"/>
      <c r="D35" s="31"/>
      <c r="E35" s="31"/>
      <c r="F35" s="31"/>
      <c r="G35" s="31"/>
      <c r="H35" s="31"/>
      <c r="I35" s="31"/>
      <c r="J35" s="31"/>
      <c r="K35" s="31"/>
      <c r="L35" s="31"/>
      <c r="M35" s="32" t="s">
        <v>33</v>
      </c>
      <c r="N35" s="31"/>
      <c r="O35" s="31"/>
      <c r="P35" s="31"/>
      <c r="Q35" s="31"/>
      <c r="R35" s="31"/>
      <c r="S35" s="31"/>
      <c r="T35" s="31"/>
      <c r="U35" s="31"/>
      <c r="V35" s="32" t="s">
        <v>34</v>
      </c>
      <c r="W35" s="14"/>
      <c r="X35" s="14"/>
      <c r="Y35" s="14"/>
      <c r="Z35" s="14"/>
      <c r="AA35" s="14"/>
      <c r="AB35" s="14"/>
      <c r="AC35" s="14"/>
    </row>
    <row r="36" customFormat="false" ht="14.25" hidden="false" customHeight="false" outlineLevel="0" collapsed="false">
      <c r="A36" s="33" t="s">
        <v>35</v>
      </c>
      <c r="B36" s="14"/>
      <c r="D36" s="14"/>
      <c r="E36" s="14"/>
      <c r="F36" s="14"/>
      <c r="G36" s="14"/>
      <c r="H36" s="17" t="n">
        <v>152000</v>
      </c>
      <c r="I36" s="14"/>
      <c r="J36" s="14"/>
      <c r="K36" s="14"/>
      <c r="L36" s="14"/>
      <c r="M36" s="34" t="n">
        <f aca="false">SUM(C36:L36)</f>
        <v>152000</v>
      </c>
      <c r="N36" s="14"/>
      <c r="O36" s="14"/>
      <c r="P36" s="17" t="n">
        <v>200000</v>
      </c>
      <c r="Q36" s="14"/>
      <c r="R36" s="14"/>
      <c r="S36" s="14"/>
      <c r="T36" s="14"/>
      <c r="U36" s="14"/>
      <c r="V36" s="34" t="n">
        <f aca="false">SUM(N36:U36)</f>
        <v>200000</v>
      </c>
      <c r="W36" s="14"/>
      <c r="X36" s="14"/>
      <c r="Y36" s="14"/>
      <c r="Z36" s="14"/>
      <c r="AA36" s="14"/>
      <c r="AB36" s="14"/>
      <c r="AC36" s="14"/>
    </row>
    <row r="37" customFormat="false" ht="14.25" hidden="false" customHeight="false" outlineLevel="0" collapsed="false">
      <c r="A37" s="33" t="s">
        <v>36</v>
      </c>
      <c r="B37" s="14"/>
      <c r="D37" s="14"/>
      <c r="E37" s="14"/>
      <c r="F37" s="14"/>
      <c r="G37" s="14"/>
      <c r="H37" s="17" t="n">
        <v>-96000</v>
      </c>
      <c r="I37" s="14"/>
      <c r="J37" s="14"/>
      <c r="K37" s="14"/>
      <c r="L37" s="14"/>
      <c r="M37" s="34" t="n">
        <f aca="false">SUM(C37:L37)</f>
        <v>-96000</v>
      </c>
      <c r="N37" s="14"/>
      <c r="O37" s="14"/>
      <c r="P37" s="17" t="n">
        <v>-151000</v>
      </c>
      <c r="Q37" s="14"/>
      <c r="R37" s="14"/>
      <c r="S37" s="14"/>
      <c r="T37" s="14"/>
      <c r="U37" s="14"/>
      <c r="V37" s="34" t="n">
        <f aca="false">SUM(N37:U37)</f>
        <v>-151000</v>
      </c>
      <c r="W37" s="14"/>
      <c r="X37" s="14"/>
      <c r="Y37" s="14"/>
      <c r="Z37" s="14"/>
      <c r="AA37" s="14"/>
      <c r="AB37" s="14"/>
      <c r="AC37" s="14"/>
    </row>
    <row r="38" customFormat="false" ht="14.25" hidden="false" customHeight="false" outlineLevel="0" collapsed="false">
      <c r="A38" s="35" t="s">
        <v>37</v>
      </c>
      <c r="B38" s="36" t="n">
        <f aca="false">B36+B37</f>
        <v>0</v>
      </c>
      <c r="C38" s="22" t="n">
        <f aca="false">C36+C37</f>
        <v>0</v>
      </c>
      <c r="D38" s="36" t="n">
        <f aca="false">D36+D37</f>
        <v>0</v>
      </c>
      <c r="E38" s="36" t="n">
        <f aca="false">E36+E37</f>
        <v>0</v>
      </c>
      <c r="F38" s="36" t="n">
        <f aca="false">F36+F37</f>
        <v>0</v>
      </c>
      <c r="G38" s="36" t="n">
        <f aca="false">G36+G37</f>
        <v>0</v>
      </c>
      <c r="H38" s="36" t="n">
        <f aca="false">H36+H37</f>
        <v>56000</v>
      </c>
      <c r="I38" s="36" t="n">
        <f aca="false">I36+I37</f>
        <v>0</v>
      </c>
      <c r="J38" s="36" t="n">
        <f aca="false">J36+J37</f>
        <v>0</v>
      </c>
      <c r="K38" s="36" t="n">
        <f aca="false">K36+K37</f>
        <v>0</v>
      </c>
      <c r="L38" s="36" t="n">
        <f aca="false">L36+L37</f>
        <v>0</v>
      </c>
      <c r="M38" s="37" t="n">
        <f aca="false">M36+M37</f>
        <v>56000</v>
      </c>
      <c r="N38" s="36" t="n">
        <f aca="false">N36+N37</f>
        <v>0</v>
      </c>
      <c r="O38" s="36" t="n">
        <f aca="false">O36+O37</f>
        <v>0</v>
      </c>
      <c r="P38" s="36" t="n">
        <f aca="false">P36+P37</f>
        <v>49000</v>
      </c>
      <c r="Q38" s="36" t="n">
        <f aca="false">Q36+Q37</f>
        <v>0</v>
      </c>
      <c r="R38" s="36" t="n">
        <f aca="false">R36+R37</f>
        <v>0</v>
      </c>
      <c r="S38" s="36" t="n">
        <f aca="false">S36+S37</f>
        <v>0</v>
      </c>
      <c r="T38" s="36" t="n">
        <f aca="false">T36+T37</f>
        <v>0</v>
      </c>
      <c r="U38" s="36" t="n">
        <f aca="false">U36+U37</f>
        <v>0</v>
      </c>
      <c r="V38" s="37" t="n">
        <f aca="false">V36+V37</f>
        <v>49000</v>
      </c>
      <c r="W38" s="14"/>
      <c r="X38" s="14"/>
      <c r="Y38" s="14"/>
      <c r="Z38" s="14"/>
      <c r="AA38" s="14"/>
      <c r="AB38" s="14"/>
      <c r="AC38" s="14"/>
    </row>
    <row r="39" customFormat="false" ht="14.25" hidden="false" customHeight="false" outlineLevel="0" collapsed="false">
      <c r="A39" s="38" t="s">
        <v>38</v>
      </c>
      <c r="B39" s="14"/>
      <c r="D39" s="14"/>
      <c r="E39" s="14"/>
      <c r="F39" s="14"/>
      <c r="G39" s="14"/>
      <c r="H39" s="14"/>
      <c r="I39" s="14"/>
      <c r="J39" s="14"/>
      <c r="K39" s="14"/>
      <c r="L39" s="14"/>
      <c r="M39" s="39"/>
      <c r="N39" s="14"/>
      <c r="O39" s="14"/>
      <c r="P39" s="14"/>
      <c r="Q39" s="14"/>
      <c r="R39" s="14"/>
      <c r="S39" s="14"/>
      <c r="T39" s="14"/>
      <c r="U39" s="14"/>
      <c r="V39" s="39"/>
      <c r="W39" s="14"/>
      <c r="X39" s="14"/>
      <c r="Y39" s="14"/>
      <c r="Z39" s="14"/>
      <c r="AA39" s="14"/>
      <c r="AB39" s="14"/>
      <c r="AC39" s="14"/>
    </row>
    <row r="40" customFormat="false" ht="14.25" hidden="false" customHeight="false" outlineLevel="0" collapsed="false">
      <c r="A40" s="33" t="s">
        <v>39</v>
      </c>
      <c r="B40" s="14"/>
      <c r="D40" s="14"/>
      <c r="E40" s="14"/>
      <c r="F40" s="14"/>
      <c r="G40" s="14"/>
      <c r="H40" s="14"/>
      <c r="I40" s="14"/>
      <c r="J40" s="14"/>
      <c r="K40" s="14"/>
      <c r="L40" s="14"/>
      <c r="M40" s="34" t="n">
        <f aca="false">SUM(C40:L40)</f>
        <v>0</v>
      </c>
      <c r="N40" s="14"/>
      <c r="O40" s="14"/>
      <c r="P40" s="14"/>
      <c r="Q40" s="14"/>
      <c r="R40" s="14"/>
      <c r="S40" s="17" t="n">
        <v>-1200</v>
      </c>
      <c r="T40" s="14"/>
      <c r="U40" s="14"/>
      <c r="V40" s="34" t="n">
        <f aca="false">SUM(N40:U40)</f>
        <v>-1200</v>
      </c>
      <c r="W40" s="14"/>
      <c r="X40" s="14"/>
      <c r="Y40" s="14"/>
      <c r="Z40" s="14"/>
      <c r="AA40" s="14"/>
      <c r="AB40" s="14"/>
      <c r="AC40" s="14"/>
    </row>
    <row r="41" customFormat="false" ht="14.25" hidden="false" customHeight="false" outlineLevel="0" collapsed="false">
      <c r="A41" s="33" t="s">
        <v>40</v>
      </c>
      <c r="B41" s="14"/>
      <c r="D41" s="14"/>
      <c r="E41" s="14"/>
      <c r="F41" s="14"/>
      <c r="G41" s="14"/>
      <c r="H41" s="14"/>
      <c r="I41" s="17" t="n">
        <v>-2000</v>
      </c>
      <c r="J41" s="17" t="n">
        <v>-2050</v>
      </c>
      <c r="K41" s="14"/>
      <c r="L41" s="14"/>
      <c r="M41" s="34" t="n">
        <f aca="false">SUM(C41:L41)</f>
        <v>-4050</v>
      </c>
      <c r="N41" s="14"/>
      <c r="O41" s="14"/>
      <c r="P41" s="14"/>
      <c r="Q41" s="14"/>
      <c r="R41" s="17" t="n">
        <v>-2000</v>
      </c>
      <c r="S41" s="14"/>
      <c r="T41" s="14"/>
      <c r="U41" s="17" t="n">
        <v>-2050</v>
      </c>
      <c r="V41" s="34" t="n">
        <f aca="false">SUM(N41:U41)</f>
        <v>-4050</v>
      </c>
      <c r="W41" s="14"/>
      <c r="X41" s="14"/>
      <c r="Y41" s="14"/>
      <c r="Z41" s="14"/>
      <c r="AA41" s="14"/>
      <c r="AB41" s="14"/>
      <c r="AC41" s="14"/>
    </row>
    <row r="42" customFormat="false" ht="14.25" hidden="false" customHeight="false" outlineLevel="0" collapsed="false">
      <c r="A42" s="33" t="s">
        <v>41</v>
      </c>
      <c r="B42" s="14"/>
      <c r="D42" s="14"/>
      <c r="E42" s="14"/>
      <c r="F42" s="14"/>
      <c r="G42" s="14"/>
      <c r="H42" s="14"/>
      <c r="I42" s="14"/>
      <c r="J42" s="14"/>
      <c r="K42" s="14"/>
      <c r="L42" s="14"/>
      <c r="M42" s="34" t="n">
        <f aca="false">SUM(C42:L42)</f>
        <v>0</v>
      </c>
      <c r="N42" s="14"/>
      <c r="O42" s="14"/>
      <c r="P42" s="14"/>
      <c r="Q42" s="14"/>
      <c r="R42" s="14"/>
      <c r="S42" s="14"/>
      <c r="T42" s="14"/>
      <c r="U42" s="14"/>
      <c r="V42" s="34" t="n">
        <f aca="false">SUM(N42:U42)</f>
        <v>0</v>
      </c>
      <c r="W42" s="14"/>
      <c r="X42" s="14"/>
      <c r="Y42" s="14"/>
      <c r="Z42" s="14"/>
      <c r="AA42" s="14"/>
      <c r="AB42" s="14"/>
      <c r="AC42" s="14"/>
    </row>
    <row r="43" customFormat="false" ht="14.25" hidden="false" customHeight="false" outlineLevel="0" collapsed="false">
      <c r="A43" s="35" t="s">
        <v>42</v>
      </c>
      <c r="B43" s="36" t="n">
        <f aca="false">B38+SUM(B40:B42)</f>
        <v>0</v>
      </c>
      <c r="C43" s="22" t="n">
        <f aca="false">C38+SUM(C40:C42)</f>
        <v>0</v>
      </c>
      <c r="D43" s="36" t="n">
        <f aca="false">D38+SUM(D40:D42)</f>
        <v>0</v>
      </c>
      <c r="E43" s="36" t="n">
        <f aca="false">E38+SUM(E40:E42)</f>
        <v>0</v>
      </c>
      <c r="F43" s="36" t="n">
        <f aca="false">F38+SUM(F40:F42)</f>
        <v>0</v>
      </c>
      <c r="G43" s="36" t="n">
        <f aca="false">G38+SUM(G40:G42)</f>
        <v>0</v>
      </c>
      <c r="H43" s="36" t="n">
        <f aca="false">H38+SUM(H40:H42)</f>
        <v>56000</v>
      </c>
      <c r="I43" s="36" t="n">
        <f aca="false">I38+SUM(I40:I42)</f>
        <v>-2000</v>
      </c>
      <c r="J43" s="36" t="n">
        <f aca="false">J38+SUM(J40:J42)</f>
        <v>-2050</v>
      </c>
      <c r="K43" s="36" t="n">
        <f aca="false">K38+SUM(K40:K42)</f>
        <v>0</v>
      </c>
      <c r="L43" s="36" t="n">
        <f aca="false">L38+SUM(L40:L42)</f>
        <v>0</v>
      </c>
      <c r="M43" s="37" t="n">
        <f aca="false">M38+SUM(M40:M42)</f>
        <v>51950</v>
      </c>
      <c r="N43" s="36" t="n">
        <f aca="false">N38+SUM(N40:N42)</f>
        <v>0</v>
      </c>
      <c r="O43" s="36" t="n">
        <f aca="false">O38+SUM(O40:O42)</f>
        <v>0</v>
      </c>
      <c r="P43" s="36" t="n">
        <f aca="false">P38+SUM(P40:P42)</f>
        <v>49000</v>
      </c>
      <c r="Q43" s="36" t="n">
        <f aca="false">Q38+SUM(Q40:Q42)</f>
        <v>0</v>
      </c>
      <c r="R43" s="36" t="n">
        <f aca="false">R38+SUM(R40:R42)</f>
        <v>-2000</v>
      </c>
      <c r="S43" s="36" t="n">
        <f aca="false">S38+SUM(S40:S42)</f>
        <v>-1200</v>
      </c>
      <c r="T43" s="36" t="n">
        <f aca="false">T38+SUM(T40:T42)</f>
        <v>0</v>
      </c>
      <c r="U43" s="36" t="n">
        <f aca="false">U38+SUM(U40:U42)</f>
        <v>-2050</v>
      </c>
      <c r="V43" s="37" t="n">
        <f aca="false">V38+SUM(V40:V42)</f>
        <v>43750</v>
      </c>
      <c r="W43" s="14"/>
      <c r="X43" s="14"/>
      <c r="Y43" s="14"/>
      <c r="Z43" s="14"/>
      <c r="AA43" s="14"/>
      <c r="AB43" s="14"/>
      <c r="AC43" s="14"/>
    </row>
    <row r="44" customFormat="false" ht="14.25" hidden="false" customHeight="false" outlineLevel="0" collapsed="false">
      <c r="A44" s="33" t="s">
        <v>43</v>
      </c>
      <c r="B44" s="14"/>
      <c r="D44" s="14"/>
      <c r="E44" s="14"/>
      <c r="F44" s="14"/>
      <c r="G44" s="14"/>
      <c r="H44" s="14"/>
      <c r="I44" s="14"/>
      <c r="J44" s="17" t="n">
        <v>-500</v>
      </c>
      <c r="K44" s="14"/>
      <c r="L44" s="14"/>
      <c r="M44" s="34" t="n">
        <f aca="false">SUM(C44:L44)</f>
        <v>-500</v>
      </c>
      <c r="N44" s="14"/>
      <c r="O44" s="14"/>
      <c r="P44" s="14"/>
      <c r="Q44" s="14"/>
      <c r="R44" s="14"/>
      <c r="S44" s="14"/>
      <c r="T44" s="17" t="n">
        <v>-500</v>
      </c>
      <c r="U44" s="14"/>
      <c r="V44" s="34" t="n">
        <f aca="false">SUM(N44:U44)</f>
        <v>-500</v>
      </c>
      <c r="W44" s="14"/>
      <c r="X44" s="14"/>
      <c r="Y44" s="14"/>
      <c r="Z44" s="14"/>
      <c r="AA44" s="14"/>
      <c r="AB44" s="14"/>
      <c r="AC44" s="14"/>
    </row>
    <row r="45" customFormat="false" ht="14.25" hidden="false" customHeight="false" outlineLevel="0" collapsed="false">
      <c r="A45" s="35" t="s">
        <v>44</v>
      </c>
      <c r="B45" s="36" t="n">
        <f aca="false">B43+B44</f>
        <v>0</v>
      </c>
      <c r="C45" s="22" t="n">
        <f aca="false">C43+C44</f>
        <v>0</v>
      </c>
      <c r="D45" s="36" t="n">
        <f aca="false">D43+D44</f>
        <v>0</v>
      </c>
      <c r="E45" s="36" t="n">
        <f aca="false">E43+E44</f>
        <v>0</v>
      </c>
      <c r="F45" s="36" t="n">
        <f aca="false">F43+F44</f>
        <v>0</v>
      </c>
      <c r="G45" s="36" t="n">
        <f aca="false">G43+G44</f>
        <v>0</v>
      </c>
      <c r="H45" s="36" t="n">
        <f aca="false">H43+H44</f>
        <v>56000</v>
      </c>
      <c r="I45" s="36" t="n">
        <f aca="false">I43+I44</f>
        <v>-2000</v>
      </c>
      <c r="J45" s="36" t="n">
        <f aca="false">J43+J44</f>
        <v>-2550</v>
      </c>
      <c r="K45" s="36" t="n">
        <f aca="false">K43+K44</f>
        <v>0</v>
      </c>
      <c r="L45" s="36" t="n">
        <f aca="false">L43+L44</f>
        <v>0</v>
      </c>
      <c r="M45" s="37" t="n">
        <f aca="false">M43+M44</f>
        <v>51450</v>
      </c>
      <c r="N45" s="36" t="n">
        <f aca="false">N43+N44</f>
        <v>0</v>
      </c>
      <c r="O45" s="36" t="n">
        <f aca="false">O43+O44</f>
        <v>0</v>
      </c>
      <c r="P45" s="36" t="n">
        <f aca="false">P43+P44</f>
        <v>49000</v>
      </c>
      <c r="Q45" s="36" t="n">
        <f aca="false">Q43+Q44</f>
        <v>0</v>
      </c>
      <c r="R45" s="36" t="n">
        <f aca="false">R43+R44</f>
        <v>-2000</v>
      </c>
      <c r="S45" s="36" t="n">
        <f aca="false">S43+S44</f>
        <v>-1200</v>
      </c>
      <c r="T45" s="36" t="n">
        <f aca="false">T43+T44</f>
        <v>-500</v>
      </c>
      <c r="U45" s="36" t="n">
        <f aca="false">U43+U44</f>
        <v>-2050</v>
      </c>
      <c r="V45" s="37" t="n">
        <f aca="false">V43+V44</f>
        <v>43250</v>
      </c>
      <c r="W45" s="14"/>
      <c r="X45" s="14"/>
      <c r="Y45" s="14"/>
      <c r="Z45" s="14"/>
      <c r="AA45" s="14"/>
      <c r="AB45" s="14"/>
      <c r="AC45" s="14"/>
    </row>
    <row r="46" customFormat="false" ht="14.25" hidden="false" customHeight="false" outlineLevel="0" collapsed="false">
      <c r="A46" s="33" t="s">
        <v>45</v>
      </c>
      <c r="B46" s="14"/>
      <c r="D46" s="14"/>
      <c r="E46" s="14"/>
      <c r="F46" s="14"/>
      <c r="G46" s="14"/>
      <c r="H46" s="14"/>
      <c r="I46" s="14"/>
      <c r="J46" s="14"/>
      <c r="K46" s="19" t="n">
        <f aca="false">-0.3*M45</f>
        <v>-15435</v>
      </c>
      <c r="L46" s="14"/>
      <c r="M46" s="34" t="n">
        <f aca="false">SUM(C46:L46)</f>
        <v>-15435</v>
      </c>
      <c r="N46" s="14"/>
      <c r="O46" s="14"/>
      <c r="P46" s="14"/>
      <c r="Q46" s="14"/>
      <c r="R46" s="14"/>
      <c r="S46" s="14"/>
      <c r="T46" s="14"/>
      <c r="U46" s="19" t="n">
        <f aca="false">-0.3*V45</f>
        <v>-12975</v>
      </c>
      <c r="V46" s="34" t="n">
        <f aca="false">SUM(N46:U46)</f>
        <v>-12975</v>
      </c>
      <c r="W46" s="14"/>
      <c r="X46" s="14"/>
      <c r="Y46" s="14"/>
      <c r="Z46" s="14"/>
      <c r="AA46" s="14"/>
      <c r="AB46" s="14"/>
      <c r="AC46" s="14"/>
    </row>
    <row r="47" customFormat="false" ht="14.25" hidden="false" customHeight="false" outlineLevel="0" collapsed="false">
      <c r="A47" s="20" t="s">
        <v>46</v>
      </c>
      <c r="B47" s="21" t="n">
        <f aca="false">B45+B46</f>
        <v>0</v>
      </c>
      <c r="C47" s="22" t="n">
        <f aca="false">C45+C46</f>
        <v>0</v>
      </c>
      <c r="D47" s="21" t="n">
        <f aca="false">D45+D46</f>
        <v>0</v>
      </c>
      <c r="E47" s="21" t="n">
        <f aca="false">E45+E46</f>
        <v>0</v>
      </c>
      <c r="F47" s="21" t="n">
        <f aca="false">F45+F46</f>
        <v>0</v>
      </c>
      <c r="G47" s="21" t="n">
        <f aca="false">G45+G46</f>
        <v>0</v>
      </c>
      <c r="H47" s="21" t="n">
        <f aca="false">H45+H46</f>
        <v>56000</v>
      </c>
      <c r="I47" s="21" t="n">
        <f aca="false">I45+I46</f>
        <v>-2000</v>
      </c>
      <c r="J47" s="21" t="n">
        <f aca="false">J45+J46</f>
        <v>-2550</v>
      </c>
      <c r="K47" s="21" t="n">
        <f aca="false">K45+K46</f>
        <v>-15435</v>
      </c>
      <c r="L47" s="21" t="n">
        <f aca="false">L45+L46</f>
        <v>0</v>
      </c>
      <c r="M47" s="21" t="n">
        <f aca="false">M45+M46</f>
        <v>36015</v>
      </c>
      <c r="N47" s="21" t="n">
        <f aca="false">N45+N46</f>
        <v>0</v>
      </c>
      <c r="O47" s="21" t="n">
        <f aca="false">O45+O46</f>
        <v>0</v>
      </c>
      <c r="P47" s="21" t="n">
        <f aca="false">P45+P46</f>
        <v>49000</v>
      </c>
      <c r="Q47" s="21" t="n">
        <f aca="false">Q45+Q46</f>
        <v>0</v>
      </c>
      <c r="R47" s="21" t="n">
        <f aca="false">R45+R46</f>
        <v>-2000</v>
      </c>
      <c r="S47" s="21" t="n">
        <f aca="false">S45+S46</f>
        <v>-1200</v>
      </c>
      <c r="T47" s="21" t="n">
        <f aca="false">T45+T46</f>
        <v>-500</v>
      </c>
      <c r="U47" s="21" t="n">
        <f aca="false">U45+U46</f>
        <v>-15025</v>
      </c>
      <c r="V47" s="21" t="n">
        <f aca="false">V45+V46</f>
        <v>30275</v>
      </c>
      <c r="W47" s="14"/>
      <c r="X47" s="14"/>
      <c r="Y47" s="14"/>
      <c r="Z47" s="14"/>
      <c r="AA47" s="14"/>
      <c r="AB47" s="14"/>
      <c r="AC47" s="14"/>
    </row>
    <row r="50" customFormat="false" ht="14.25" hidden="false" customHeight="false" outlineLevel="0" collapsed="false">
      <c r="A50" s="30" t="s">
        <v>47</v>
      </c>
      <c r="B50" s="40"/>
      <c r="D50" s="40"/>
      <c r="E50" s="40"/>
      <c r="F50" s="40"/>
      <c r="G50" s="40"/>
      <c r="H50" s="40"/>
      <c r="I50" s="40"/>
      <c r="J50" s="40"/>
      <c r="K50" s="40"/>
      <c r="L50" s="41"/>
      <c r="M50" s="32" t="s">
        <v>33</v>
      </c>
      <c r="N50" s="31"/>
      <c r="O50" s="31"/>
      <c r="P50" s="31"/>
      <c r="Q50" s="31"/>
      <c r="R50" s="31"/>
      <c r="S50" s="31"/>
      <c r="T50" s="31"/>
      <c r="U50" s="31"/>
      <c r="V50" s="32" t="s">
        <v>34</v>
      </c>
    </row>
    <row r="51" customFormat="false" ht="14.25" hidden="false" customHeight="false" outlineLevel="0" collapsed="false">
      <c r="A51" s="42" t="s">
        <v>48</v>
      </c>
      <c r="B51" s="14"/>
      <c r="D51" s="14"/>
      <c r="E51" s="14"/>
      <c r="F51" s="14"/>
      <c r="G51" s="14"/>
      <c r="H51" s="14"/>
      <c r="I51" s="14"/>
      <c r="J51" s="14"/>
      <c r="K51" s="14"/>
      <c r="L51" s="14"/>
      <c r="M51" s="43"/>
      <c r="N51" s="14"/>
      <c r="O51" s="14"/>
      <c r="P51" s="14"/>
      <c r="Q51" s="14"/>
      <c r="R51" s="14"/>
      <c r="S51" s="14"/>
      <c r="T51" s="14"/>
      <c r="U51" s="14"/>
      <c r="V51" s="43"/>
    </row>
    <row r="52" customFormat="false" ht="14.25" hidden="false" customHeight="false" outlineLevel="0" collapsed="false">
      <c r="A52" s="33" t="s">
        <v>49</v>
      </c>
      <c r="B52" s="14"/>
      <c r="D52" s="14"/>
      <c r="E52" s="14"/>
      <c r="F52" s="14"/>
      <c r="G52" s="14"/>
      <c r="H52" s="17" t="n">
        <v>122000</v>
      </c>
      <c r="I52" s="14"/>
      <c r="J52" s="14"/>
      <c r="K52" s="14"/>
      <c r="L52" s="14"/>
      <c r="M52" s="44" t="n">
        <f aca="false">SUM(C52:L52)</f>
        <v>122000</v>
      </c>
      <c r="N52" s="17" t="n">
        <v>50000</v>
      </c>
      <c r="O52" s="14"/>
      <c r="P52" s="17" t="n">
        <v>156000</v>
      </c>
      <c r="Q52" s="17" t="n">
        <v>250</v>
      </c>
      <c r="R52" s="14"/>
      <c r="S52" s="14"/>
      <c r="T52" s="14"/>
      <c r="U52" s="14"/>
      <c r="V52" s="44" t="n">
        <f aca="false">SUM(N52:U52)</f>
        <v>206250</v>
      </c>
    </row>
    <row r="53" customFormat="false" ht="14.25" hidden="false" customHeight="false" outlineLevel="0" collapsed="false">
      <c r="A53" s="35" t="s">
        <v>50</v>
      </c>
      <c r="B53" s="14"/>
      <c r="D53" s="14"/>
      <c r="E53" s="14"/>
      <c r="F53" s="17" t="n">
        <v>-100000</v>
      </c>
      <c r="G53" s="14"/>
      <c r="H53" s="14"/>
      <c r="I53" s="14"/>
      <c r="J53" s="14"/>
      <c r="K53" s="14"/>
      <c r="L53" s="14"/>
      <c r="M53" s="44" t="n">
        <f aca="false">SUM(C53:L53)</f>
        <v>-100000</v>
      </c>
      <c r="N53" s="14"/>
      <c r="O53" s="17" t="n">
        <v>-155000</v>
      </c>
      <c r="P53" s="14"/>
      <c r="Q53" s="14"/>
      <c r="R53" s="14"/>
      <c r="S53" s="14"/>
      <c r="T53" s="14"/>
      <c r="U53" s="14"/>
      <c r="V53" s="44" t="n">
        <f aca="false">SUM(N53:U53)</f>
        <v>-155000</v>
      </c>
    </row>
    <row r="54" customFormat="false" ht="14.25" hidden="false" customHeight="false" outlineLevel="0" collapsed="false">
      <c r="A54" s="38" t="s">
        <v>51</v>
      </c>
      <c r="B54" s="14"/>
      <c r="D54" s="14"/>
      <c r="E54" s="17" t="n">
        <v>-9000</v>
      </c>
      <c r="F54" s="14"/>
      <c r="G54" s="17" t="n">
        <v>-1200</v>
      </c>
      <c r="H54" s="14"/>
      <c r="I54" s="17" t="n">
        <v>-1000</v>
      </c>
      <c r="J54" s="14"/>
      <c r="K54" s="14"/>
      <c r="L54" s="14"/>
      <c r="M54" s="44" t="n">
        <f aca="false">SUM(C54:L54)</f>
        <v>-11200</v>
      </c>
      <c r="N54" s="17" t="n">
        <v>-1000</v>
      </c>
      <c r="O54" s="14"/>
      <c r="P54" s="14"/>
      <c r="Q54" s="14"/>
      <c r="R54" s="17" t="n">
        <v>-1000</v>
      </c>
      <c r="S54" s="14"/>
      <c r="T54" s="14"/>
      <c r="U54" s="14"/>
      <c r="V54" s="44" t="n">
        <f aca="false">SUM(N54:U54)</f>
        <v>-2000</v>
      </c>
    </row>
    <row r="55" customFormat="false" ht="14.25" hidden="false" customHeight="false" outlineLevel="0" collapsed="false">
      <c r="A55" s="33" t="s">
        <v>52</v>
      </c>
      <c r="B55" s="14"/>
      <c r="D55" s="14"/>
      <c r="E55" s="14"/>
      <c r="F55" s="14"/>
      <c r="G55" s="14"/>
      <c r="H55" s="14"/>
      <c r="I55" s="14"/>
      <c r="J55" s="14"/>
      <c r="K55" s="14"/>
      <c r="L55" s="14"/>
      <c r="M55" s="44" t="n">
        <f aca="false">SUM(C55:L55)</f>
        <v>0</v>
      </c>
      <c r="N55" s="14"/>
      <c r="O55" s="14"/>
      <c r="P55" s="14"/>
      <c r="Q55" s="14"/>
      <c r="R55" s="14"/>
      <c r="S55" s="14"/>
      <c r="T55" s="17" t="n">
        <v>-1000</v>
      </c>
      <c r="U55" s="19" t="n">
        <f aca="false">-M20</f>
        <v>-15435</v>
      </c>
      <c r="V55" s="44" t="n">
        <f aca="false">SUM(N55:U55)</f>
        <v>-16435</v>
      </c>
    </row>
    <row r="56" customFormat="false" ht="14.25" hidden="false" customHeight="false" outlineLevel="0" collapsed="false">
      <c r="A56" s="42" t="s">
        <v>53</v>
      </c>
      <c r="B56" s="45"/>
      <c r="D56" s="45"/>
      <c r="E56" s="45"/>
      <c r="F56" s="45"/>
      <c r="G56" s="45"/>
      <c r="H56" s="45"/>
      <c r="I56" s="45"/>
      <c r="J56" s="45"/>
      <c r="K56" s="45"/>
      <c r="L56" s="45"/>
      <c r="M56" s="46"/>
      <c r="N56" s="45"/>
      <c r="O56" s="45"/>
      <c r="P56" s="45"/>
      <c r="Q56" s="45"/>
      <c r="R56" s="45"/>
      <c r="S56" s="45"/>
      <c r="T56" s="45"/>
      <c r="U56" s="45"/>
      <c r="V56" s="46"/>
    </row>
    <row r="57" customFormat="false" ht="14.25" hidden="false" customHeight="false" outlineLevel="0" collapsed="false">
      <c r="A57" s="33" t="s">
        <v>54</v>
      </c>
      <c r="B57" s="14"/>
      <c r="D57" s="14"/>
      <c r="E57" s="17" t="n">
        <v>-13200</v>
      </c>
      <c r="F57" s="14"/>
      <c r="G57" s="14"/>
      <c r="H57" s="14"/>
      <c r="I57" s="14"/>
      <c r="J57" s="14"/>
      <c r="K57" s="14"/>
      <c r="L57" s="14"/>
      <c r="M57" s="44" t="n">
        <f aca="false">SUM(C57:L57)</f>
        <v>-13200</v>
      </c>
      <c r="N57" s="14"/>
      <c r="O57" s="14"/>
      <c r="P57" s="14"/>
      <c r="Q57" s="14"/>
      <c r="R57" s="14"/>
      <c r="S57" s="14"/>
      <c r="T57" s="14"/>
      <c r="U57" s="14"/>
      <c r="V57" s="44" t="n">
        <f aca="false">SUM(N57:U57)</f>
        <v>0</v>
      </c>
    </row>
    <row r="58" customFormat="false" ht="14.25" hidden="false" customHeight="false" outlineLevel="0" collapsed="false">
      <c r="A58" s="47" t="s">
        <v>55</v>
      </c>
      <c r="B58" s="48"/>
      <c r="D58" s="48"/>
      <c r="E58" s="48"/>
      <c r="F58" s="48"/>
      <c r="G58" s="48"/>
      <c r="H58" s="48"/>
      <c r="I58" s="48"/>
      <c r="J58" s="48"/>
      <c r="K58" s="48"/>
      <c r="L58" s="48"/>
      <c r="M58" s="49" t="n">
        <f aca="false">SUM(C58:L58)</f>
        <v>0</v>
      </c>
      <c r="N58" s="48"/>
      <c r="O58" s="48"/>
      <c r="P58" s="48"/>
      <c r="Q58" s="48"/>
      <c r="R58" s="48"/>
      <c r="S58" s="48"/>
      <c r="T58" s="48"/>
      <c r="U58" s="48"/>
      <c r="V58" s="49" t="n">
        <f aca="false">SUM(N58:U58)</f>
        <v>0</v>
      </c>
    </row>
    <row r="59" customFormat="false" ht="15" hidden="false" customHeight="true" outlineLevel="0" collapsed="false">
      <c r="A59" s="50" t="s">
        <v>56</v>
      </c>
      <c r="B59" s="14"/>
      <c r="D59" s="14"/>
      <c r="E59" s="14"/>
      <c r="F59" s="14"/>
      <c r="G59" s="14"/>
      <c r="H59" s="14"/>
      <c r="I59" s="14"/>
      <c r="J59" s="14"/>
      <c r="K59" s="14"/>
      <c r="L59" s="14"/>
      <c r="M59" s="43"/>
      <c r="N59" s="14"/>
      <c r="O59" s="14"/>
      <c r="P59" s="14"/>
      <c r="Q59" s="14"/>
      <c r="R59" s="14"/>
      <c r="S59" s="14"/>
      <c r="T59" s="14"/>
      <c r="U59" s="14"/>
      <c r="V59" s="43"/>
    </row>
    <row r="60" customFormat="false" ht="14.25" hidden="false" customHeight="false" outlineLevel="0" collapsed="false">
      <c r="A60" s="35" t="s">
        <v>57</v>
      </c>
      <c r="B60" s="14"/>
      <c r="C60" s="16" t="n">
        <v>80000</v>
      </c>
      <c r="D60" s="17" t="n">
        <v>50000</v>
      </c>
      <c r="E60" s="14"/>
      <c r="F60" s="14"/>
      <c r="G60" s="14"/>
      <c r="H60" s="14"/>
      <c r="I60" s="14"/>
      <c r="J60" s="14"/>
      <c r="K60" s="14"/>
      <c r="L60" s="14"/>
      <c r="M60" s="44" t="n">
        <f aca="false">SUM(C60:L60)</f>
        <v>130000</v>
      </c>
      <c r="N60" s="14"/>
      <c r="O60" s="14"/>
      <c r="P60" s="14"/>
      <c r="Q60" s="14"/>
      <c r="R60" s="14"/>
      <c r="S60" s="14"/>
      <c r="T60" s="14"/>
      <c r="U60" s="14"/>
      <c r="V60" s="44" t="n">
        <f aca="false">SUM(N60:U60)</f>
        <v>0</v>
      </c>
    </row>
    <row r="61" customFormat="false" ht="14.25" hidden="false" customHeight="false" outlineLevel="0" collapsed="false">
      <c r="A61" s="33" t="s">
        <v>58</v>
      </c>
      <c r="B61" s="14"/>
      <c r="D61" s="14"/>
      <c r="E61" s="14"/>
      <c r="F61" s="14"/>
      <c r="G61" s="14"/>
      <c r="H61" s="14"/>
      <c r="I61" s="14"/>
      <c r="J61" s="14"/>
      <c r="K61" s="14"/>
      <c r="L61" s="14"/>
      <c r="M61" s="44" t="n">
        <f aca="false">SUM(C61:L61)</f>
        <v>0</v>
      </c>
      <c r="N61" s="19" t="n">
        <f aca="false">-M22</f>
        <v>-14406</v>
      </c>
      <c r="O61" s="14"/>
      <c r="P61" s="14"/>
      <c r="Q61" s="14"/>
      <c r="R61" s="14"/>
      <c r="S61" s="14"/>
      <c r="T61" s="17" t="n">
        <v>-50000</v>
      </c>
      <c r="U61" s="14"/>
      <c r="V61" s="44" t="n">
        <f aca="false">SUM(N61:U61)</f>
        <v>-64406</v>
      </c>
    </row>
    <row r="62" customFormat="false" ht="14.25" hidden="false" customHeight="false" outlineLevel="0" collapsed="false">
      <c r="A62" s="20" t="s">
        <v>59</v>
      </c>
      <c r="B62" s="51" t="n">
        <f aca="false">SUM(B51:B61)</f>
        <v>0</v>
      </c>
      <c r="C62" s="22" t="n">
        <f aca="false">SUM(C51:C61)</f>
        <v>80000</v>
      </c>
      <c r="D62" s="21" t="n">
        <f aca="false">SUM(D51:D61)</f>
        <v>50000</v>
      </c>
      <c r="E62" s="21" t="n">
        <f aca="false">SUM(E51:E61)</f>
        <v>-22200</v>
      </c>
      <c r="F62" s="21" t="n">
        <f aca="false">SUM(F51:F61)</f>
        <v>-100000</v>
      </c>
      <c r="G62" s="21" t="n">
        <f aca="false">SUM(G51:G61)</f>
        <v>-1200</v>
      </c>
      <c r="H62" s="21" t="n">
        <f aca="false">SUM(H51:H61)</f>
        <v>122000</v>
      </c>
      <c r="I62" s="21" t="n">
        <f aca="false">SUM(I51:I61)</f>
        <v>-1000</v>
      </c>
      <c r="J62" s="21" t="n">
        <f aca="false">SUM(J51:J61)</f>
        <v>0</v>
      </c>
      <c r="K62" s="21" t="n">
        <f aca="false">SUM(K51:K61)</f>
        <v>0</v>
      </c>
      <c r="L62" s="21" t="n">
        <f aca="false">SUM(L51:L61)</f>
        <v>0</v>
      </c>
      <c r="M62" s="52" t="n">
        <f aca="false">SUM(M51:M61)</f>
        <v>127600</v>
      </c>
      <c r="N62" s="21" t="n">
        <f aca="false">SUM(N51:N61)</f>
        <v>34594</v>
      </c>
      <c r="O62" s="21" t="n">
        <f aca="false">SUM(O51:O61)</f>
        <v>-155000</v>
      </c>
      <c r="P62" s="21" t="n">
        <f aca="false">SUM(P51:P61)</f>
        <v>156000</v>
      </c>
      <c r="Q62" s="21" t="n">
        <f aca="false">SUM(Q51:Q61)</f>
        <v>250</v>
      </c>
      <c r="R62" s="21" t="n">
        <f aca="false">SUM(R51:R61)</f>
        <v>-1000</v>
      </c>
      <c r="S62" s="21" t="n">
        <f aca="false">SUM(S51:S61)</f>
        <v>0</v>
      </c>
      <c r="T62" s="21" t="n">
        <f aca="false">SUM(T51:T61)</f>
        <v>-51000</v>
      </c>
      <c r="U62" s="21" t="n">
        <f aca="false">SUM(U51:U61)</f>
        <v>-15435</v>
      </c>
      <c r="V62" s="52" t="n">
        <f aca="false">SUM(V51:V61)</f>
        <v>-31591</v>
      </c>
    </row>
    <row r="63" customFormat="false" ht="14.25" hidden="false" customHeight="false" outlineLevel="0" collapsed="false">
      <c r="A63" s="0" t="s">
        <v>60</v>
      </c>
      <c r="B63" s="24"/>
      <c r="C63" s="24" t="n">
        <v>0</v>
      </c>
      <c r="D63" s="24" t="n">
        <f aca="false">C64</f>
        <v>80000</v>
      </c>
      <c r="E63" s="24" t="n">
        <f aca="false">D64</f>
        <v>130000</v>
      </c>
      <c r="F63" s="24" t="n">
        <f aca="false">E64</f>
        <v>107800</v>
      </c>
      <c r="G63" s="24" t="n">
        <f aca="false">F64</f>
        <v>7800</v>
      </c>
      <c r="H63" s="24" t="n">
        <f aca="false">G64</f>
        <v>6600</v>
      </c>
      <c r="I63" s="24" t="n">
        <f aca="false">H64</f>
        <v>128600</v>
      </c>
      <c r="J63" s="24" t="n">
        <f aca="false">I64</f>
        <v>127600</v>
      </c>
      <c r="K63" s="24" t="n">
        <f aca="false">J64</f>
        <v>127600</v>
      </c>
      <c r="L63" s="24" t="n">
        <f aca="false">K64</f>
        <v>127600</v>
      </c>
      <c r="M63" s="24" t="n">
        <v>0</v>
      </c>
      <c r="N63" s="24" t="n">
        <f aca="false">M64</f>
        <v>127600</v>
      </c>
      <c r="O63" s="24" t="n">
        <f aca="false">N64</f>
        <v>162194</v>
      </c>
      <c r="P63" s="24" t="n">
        <f aca="false">O64</f>
        <v>7194</v>
      </c>
      <c r="Q63" s="24" t="n">
        <f aca="false">P64</f>
        <v>163194</v>
      </c>
      <c r="R63" s="24" t="n">
        <f aca="false">Q64</f>
        <v>163444</v>
      </c>
      <c r="S63" s="24" t="n">
        <f aca="false">R64</f>
        <v>162444</v>
      </c>
      <c r="T63" s="24" t="n">
        <f aca="false">S64</f>
        <v>162444</v>
      </c>
      <c r="U63" s="24" t="n">
        <f aca="false">T64</f>
        <v>111444</v>
      </c>
      <c r="V63" s="24" t="n">
        <f aca="false">M64</f>
        <v>127600</v>
      </c>
    </row>
    <row r="64" customFormat="false" ht="14.25" hidden="false" customHeight="false" outlineLevel="0" collapsed="false">
      <c r="A64" s="0" t="s">
        <v>61</v>
      </c>
      <c r="B64" s="22"/>
      <c r="C64" s="22" t="n">
        <f aca="false">C63+C62</f>
        <v>80000</v>
      </c>
      <c r="D64" s="22" t="n">
        <f aca="false">D63+D62</f>
        <v>130000</v>
      </c>
      <c r="E64" s="22" t="n">
        <f aca="false">E63+E62</f>
        <v>107800</v>
      </c>
      <c r="F64" s="22" t="n">
        <f aca="false">F63+F62</f>
        <v>7800</v>
      </c>
      <c r="G64" s="22" t="n">
        <f aca="false">G63+G62</f>
        <v>6600</v>
      </c>
      <c r="H64" s="22" t="n">
        <f aca="false">H63+H62</f>
        <v>128600</v>
      </c>
      <c r="I64" s="22" t="n">
        <f aca="false">I63+I62</f>
        <v>127600</v>
      </c>
      <c r="J64" s="22" t="n">
        <f aca="false">J63+J62</f>
        <v>127600</v>
      </c>
      <c r="K64" s="22" t="n">
        <f aca="false">K63+K62</f>
        <v>127600</v>
      </c>
      <c r="L64" s="22" t="n">
        <f aca="false">L63+L62</f>
        <v>127600</v>
      </c>
      <c r="M64" s="22" t="n">
        <f aca="false">M63+M62</f>
        <v>127600</v>
      </c>
      <c r="N64" s="22" t="n">
        <f aca="false">N63+N62</f>
        <v>162194</v>
      </c>
      <c r="O64" s="22" t="n">
        <f aca="false">O63+O62</f>
        <v>7194</v>
      </c>
      <c r="P64" s="22" t="n">
        <f aca="false">P63+P62</f>
        <v>163194</v>
      </c>
      <c r="Q64" s="22" t="n">
        <f aca="false">Q63+Q62</f>
        <v>163444</v>
      </c>
      <c r="R64" s="22" t="n">
        <f aca="false">R63+R62</f>
        <v>162444</v>
      </c>
      <c r="S64" s="22" t="n">
        <f aca="false">S63+S62</f>
        <v>162444</v>
      </c>
      <c r="T64" s="22" t="n">
        <f aca="false">T63+T62</f>
        <v>111444</v>
      </c>
      <c r="U64" s="22" t="n">
        <f aca="false">U63+U62</f>
        <v>96009</v>
      </c>
      <c r="V64" s="22" t="n">
        <f aca="false">V63+V62</f>
        <v>96009</v>
      </c>
    </row>
  </sheetData>
  <printOptions headings="false" gridLines="false" gridLinesSet="true" horizontalCentered="false" verticalCentered="false"/>
  <pageMargins left="0.511805555555556" right="0.511805555555556" top="0.7875" bottom="0.78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legacy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LibreOffice/26.2.2.2$MacOSX_AARCH64 LibreOffice_project/1f77d10d6938fd34972958f64b2bcfa54f8b1ba5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2025-02-26T20:27:53Z</dcterms:created>
  <dc:creator>Edilene Santana Santos</dc:creator>
  <dc:description/>
  <dc:language>pt-BR</dc:language>
  <cp:lastModifiedBy>Edilene Santana Santos</cp:lastModifiedBy>
  <dcterms:modified xsi:type="dcterms:W3CDTF">2026-08-21T14:53:01Z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MSIP_Label_84f7750d-9cdf-4ba7-80aa-2c6ffdc35229_ActionId">
    <vt:lpwstr>7111c39e-b43a-42ef-a5ce-4705c32634a0</vt:lpwstr>
  </property>
  <property fmtid="{D5CDD505-2E9C-101B-9397-08002B2CF9AE}" pid="3" name="MSIP_Label_84f7750d-9cdf-4ba7-80aa-2c6ffdc35229_ContentBits">
    <vt:lpwstr>0</vt:lpwstr>
  </property>
  <property fmtid="{D5CDD505-2E9C-101B-9397-08002B2CF9AE}" pid="4" name="MSIP_Label_84f7750d-9cdf-4ba7-80aa-2c6ffdc35229_Enabled">
    <vt:lpwstr>true</vt:lpwstr>
  </property>
  <property fmtid="{D5CDD505-2E9C-101B-9397-08002B2CF9AE}" pid="5" name="MSIP_Label_84f7750d-9cdf-4ba7-80aa-2c6ffdc35229_Method">
    <vt:lpwstr>Standard</vt:lpwstr>
  </property>
  <property fmtid="{D5CDD505-2E9C-101B-9397-08002B2CF9AE}" pid="6" name="MSIP_Label_84f7750d-9cdf-4ba7-80aa-2c6ffdc35229_Name">
    <vt:lpwstr>Nível - 1</vt:lpwstr>
  </property>
  <property fmtid="{D5CDD505-2E9C-101B-9397-08002B2CF9AE}" pid="7" name="MSIP_Label_84f7750d-9cdf-4ba7-80aa-2c6ffdc35229_SetDate">
    <vt:lpwstr>2026-08-12T10:17:34Z</vt:lpwstr>
  </property>
  <property fmtid="{D5CDD505-2E9C-101B-9397-08002B2CF9AE}" pid="8" name="MSIP_Label_84f7750d-9cdf-4ba7-80aa-2c6ffdc35229_SiteId">
    <vt:lpwstr>79f6b639-ab12-4280-8077-bdbeef869b33</vt:lpwstr>
  </property>
  <property fmtid="{D5CDD505-2E9C-101B-9397-08002B2CF9AE}" pid="9" name="MSIP_Label_84f7750d-9cdf-4ba7-80aa-2c6ffdc35229_Tag">
    <vt:lpwstr>10, 3, 0, 1</vt:lpwstr>
  </property>
</Properties>
</file>