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Me" sheetId="1" state="visible" r:id="rId3"/>
    <sheet name="Gabarito" sheetId="2" state="visible" r:id="rId4"/>
    <sheet name="A_Conceitos" sheetId="3" state="visible" r:id="rId5"/>
    <sheet name="B_Classificacao" sheetId="4" state="visible" r:id="rId6"/>
    <sheet name="C_Caso1" sheetId="5" state="visible" r:id="rId7"/>
    <sheet name="C_Caso2" sheetId="6" state="visible" r:id="rId8"/>
    <sheet name="D_Pegadinha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<sst xmlns="http://schemas.openxmlformats.org/spreadsheetml/2006/main" count="276" uniqueCount="171">
  <si>
    <t xml:space="preserve">Treino: DFs principais (ContabilidadeFinanceira, 10.08.2026)</t>
  </si>
  <si>
    <t xml:space="preserve">Como usar:</t>
  </si>
  <si>
    <t xml:space="preserve">1. Célula AMARELA = você preenche. Texto azul sem fundo = dado do caso, não mexe.</t>
  </si>
  <si>
    <t xml:space="preserve">2. Abas B e C corrigem sozinhas: a coluna Check mostra ✔ ou ✗ comparando com a aba Gabarito.</t>
  </si>
  <si>
    <t xml:space="preserve">3. Abas A e D são discursivas: escreve tua resposta e só depois compara com o Gabarito.</t>
  </si>
  <si>
    <t xml:space="preserve">4. Convenção de sinais nos casos numéricos: despesas e saídas de caixa entram NEGATIVAS.</t>
  </si>
  <si>
    <t xml:space="preserve">5. Não abre a aba Gabarito antes de terminar. A correção automática já te diz se acertou.</t>
  </si>
  <si>
    <t xml:space="preserve">Ordem sugerida (tempo total ~40 min): A conceitos, B classificação, C caso 1, C caso 2, D pegadinhas.</t>
  </si>
  <si>
    <t xml:space="preserve">Exemplo de como funciona: a primeira linha da aba B_Classificacao já vem respondida como demonstração.</t>
  </si>
  <si>
    <t xml:space="preserve">Gabarito</t>
  </si>
  <si>
    <t xml:space="preserve">Esperado C_Caso1</t>
  </si>
  <si>
    <t xml:space="preserve">Esperado C_Caso2</t>
  </si>
  <si>
    <t xml:space="preserve">Bloco D</t>
  </si>
  <si>
    <t xml:space="preserve">Bloco A</t>
  </si>
  <si>
    <t xml:space="preserve">C_Caso1: Receita líquida</t>
  </si>
  <si>
    <t xml:space="preserve">C_Caso1: (-) CMV</t>
  </si>
  <si>
    <t xml:space="preserve">D1. Não. Lucro operacional conceitual vem ANTES do resultado financeiro. O nome da linha não manda; recalcula: lucro bruto menos despesas operacionais.</t>
  </si>
  <si>
    <t xml:space="preserve">A1. RA: o que aconteceu e pra onde vamos, na voz da gestão. BP: onde o dinheiro está aplicado e de onde veio. DRE: resultado das operações do período. DFC: principais entradas e saídas de caixa.</t>
  </si>
  <si>
    <t xml:space="preserve">BP</t>
  </si>
  <si>
    <t xml:space="preserve">C_Caso1: = Lucro bruto</t>
  </si>
  <si>
    <t xml:space="preserve">D2. Não. Investimentos em análise são o ativo (aplicações). Capital social e reservas são origens, lado direito.</t>
  </si>
  <si>
    <t xml:space="preserve">A2. BP é foto de uma data; DRE e DFC são filmes de um período. Posição vs desempenho: comparar duas fotos do BP exige os filmes pra explicar o que mudou.</t>
  </si>
  <si>
    <t xml:space="preserve">C_Caso1: (-) Despesas de vendas</t>
  </si>
  <si>
    <t xml:space="preserve">D3. Não direto. A receita líquida da cerveja já perdeu ~40% em tributo antes da margem. Comparação entre setores exige olhar o que saiu da receita.</t>
  </si>
  <si>
    <t xml:space="preserve">A3. Os dois lados são a mesma coisa vista de ângulos diferentes: esquerdo mostra onde o dinheiro está aplicado, direito mostra de onde veio (terceiros ou sócios). Todo recurso aplicado tem origem; se não bate, tem erro.</t>
  </si>
  <si>
    <t xml:space="preserve">DRE</t>
  </si>
  <si>
    <t xml:space="preserve">C_Caso1: (-) Despesas administrativas</t>
  </si>
  <si>
    <t xml:space="preserve">D4. Na DFC, linha do fluxo de caixa das atividades operacionais (FCO). Geração de caixa sem FCO forte é marketing.</t>
  </si>
  <si>
    <t xml:space="preserve">A4. Por função responde 'pra que gastei': lucro bruto isola o valor agregado da atividade-fim, EBIT isola a operação inteira, LL isola o que sobra pro acionista depois de banco e governo. Por natureza responderia 'com que gastei' e misturaria as camadas.</t>
  </si>
  <si>
    <t xml:space="preserve">DFC</t>
  </si>
  <si>
    <t xml:space="preserve">C_Caso1: = EBIT</t>
  </si>
  <si>
    <t xml:space="preserve">D5. Lucro do ano: quase zero (só D&amp;A de dezembro, se houver). Caixa: -200 no FCI. Próximos anos: D&amp;A anual reduzindo o lucro ao longo da vida útil.</t>
  </si>
  <si>
    <t xml:space="preserve">A5. DRE é competência, caixa é sobrevivência. Varejista que vende a prazo longo e estoca agressivo mostra lucro alto com FCO fraco; sem caixa pra pagar fornecedor, quebra com DRE bonita.</t>
  </si>
  <si>
    <t xml:space="preserve">C_Caso1: (+/-) Resultado financeiro</t>
  </si>
  <si>
    <t xml:space="preserve">A6. Baixo: é a gestão escrevendo sobre si mesma, sem o rigor de auditoria das DFs. Serve de contexto e guia de leitura; toda afirmação se confere contra os números.</t>
  </si>
  <si>
    <t xml:space="preserve">C_Caso1: = LAIR</t>
  </si>
  <si>
    <t xml:space="preserve">A7. Consolidado é o grupo econômico (visão econômica); controladora é a pessoa jurídica sozinha (visão jurídica). Holding 'Participações' sozinha não opera nada.</t>
  </si>
  <si>
    <t xml:space="preserve">RA</t>
  </si>
  <si>
    <t xml:space="preserve">C_Caso1: (-) IR</t>
  </si>
  <si>
    <t xml:space="preserve">Notas Explicativas</t>
  </si>
  <si>
    <t xml:space="preserve">C_Caso1: = Lucro líquido</t>
  </si>
  <si>
    <t xml:space="preserve">C_Caso1: Margem bruta</t>
  </si>
  <si>
    <t xml:space="preserve">C_Caso1: Lucro líquido</t>
  </si>
  <si>
    <t xml:space="preserve">C_Caso1: (+) D&amp;A</t>
  </si>
  <si>
    <t xml:space="preserve">C_Caso1: (-) Aumento de contas a receber</t>
  </si>
  <si>
    <t xml:space="preserve">Custo</t>
  </si>
  <si>
    <t xml:space="preserve">C_Caso1: (-) Aumento de estoques</t>
  </si>
  <si>
    <t xml:space="preserve">Despesa de vendas</t>
  </si>
  <si>
    <t xml:space="preserve">C_Caso1: (+) Aumento de fornecedores</t>
  </si>
  <si>
    <t xml:space="preserve">Despesa administrativa</t>
  </si>
  <si>
    <t xml:space="preserve">C_Caso1: = FCO</t>
  </si>
  <si>
    <t xml:space="preserve">C_Caso1: FCI (capex)</t>
  </si>
  <si>
    <t xml:space="preserve">C_Caso1: FCF (empréstimos e dividendos)</t>
  </si>
  <si>
    <t xml:space="preserve">C_Caso1: = Variação do caixa</t>
  </si>
  <si>
    <t xml:space="preserve">C_Caso1: Caixa final</t>
  </si>
  <si>
    <t xml:space="preserve">C_Caso1: Δ Caixa</t>
  </si>
  <si>
    <t xml:space="preserve">C_Caso1: Δ Contas a receber</t>
  </si>
  <si>
    <t xml:space="preserve">C_Caso1: Δ Estoques</t>
  </si>
  <si>
    <t xml:space="preserve">C_Caso1: Δ Imobilizado (capex menos D&amp;A)</t>
  </si>
  <si>
    <t xml:space="preserve">FCI</t>
  </si>
  <si>
    <t xml:space="preserve">C_Caso1: = Δ Ativo total</t>
  </si>
  <si>
    <t xml:space="preserve">FCO</t>
  </si>
  <si>
    <t xml:space="preserve">C_Caso1: Δ Fornecedores</t>
  </si>
  <si>
    <t xml:space="preserve">FCF</t>
  </si>
  <si>
    <t xml:space="preserve">C_Caso1: Δ Empréstimos</t>
  </si>
  <si>
    <t xml:space="preserve">C_Caso1: Δ PL (LL menos dividendos)</t>
  </si>
  <si>
    <t xml:space="preserve">C_Caso1: = Δ Passivo + PL</t>
  </si>
  <si>
    <t xml:space="preserve">Pagamento a fornecedores</t>
  </si>
  <si>
    <t xml:space="preserve">C_Caso1: resposta discursiva C6</t>
  </si>
  <si>
    <t xml:space="preserve">Lucro (119) maior que FCO (79). A diferença é capital de giro: financiou cliente (+50 a receber) e estocou (+40), devolvendo só 20 via fornecedores. Cresceu consumindo caixa, padrão de expansão.</t>
  </si>
  <si>
    <t xml:space="preserve">LL 182 e FCO 162, mas capex de 120 mais FCF de -90 (amortizou 40 e distribuiu 50) consomem 210. Variação de caixa -48: a empresa lucrou, gerou caixa operacional, e mesmo assim queimou caixa porque investiu e devolveu dinheiro a credor e acionista ao mesmo tempo.</t>
  </si>
  <si>
    <t xml:space="preserve">Recompra de ações</t>
  </si>
  <si>
    <t xml:space="preserve">Aquisição de uma empresa concorrente</t>
  </si>
  <si>
    <t xml:space="preserve">Bloco A: questões centrais (responde em 2 a 4 frases, estilo QC da professora)</t>
  </si>
  <si>
    <t xml:space="preserve">Pergunta</t>
  </si>
  <si>
    <t xml:space="preserve">Sua resposta</t>
  </si>
  <si>
    <t xml:space="preserve">Quais são as 4 DFs principais e que pergunta do negócio cada uma responde?</t>
  </si>
  <si>
    <t xml:space="preserve">Balanço é foto ou filme? E a DRE? E a DFC? Por que essa distinção importa na análise?</t>
  </si>
  <si>
    <t xml:space="preserve">Por que existe a equação Ativo = Passivo + PL? O que significa dizer que não existe aplicação sem origem?</t>
  </si>
  <si>
    <t xml:space="preserve">Por que a DRE brasileira é organizada por função (atividade-fim, meio, financeira) e não por natureza do gasto? O que cada subtotal isola?</t>
  </si>
  <si>
    <t xml:space="preserve">Se a DRE já mostra o resultado, por que a DFC existe? Dá um exemplo de empresa com lucro alto e caixa ruim.</t>
  </si>
  <si>
    <t xml:space="preserve">Qual o grau de isenção do Relatório da Administração e como isso muda o jeito de usar ele?</t>
  </si>
  <si>
    <t xml:space="preserve">Por que olhamos sempre a coluna consolidado e não a controladora?</t>
  </si>
  <si>
    <t xml:space="preserve">Bloco B: classificação rápida (dropdown na coluna Resposta, correção automática)</t>
  </si>
  <si>
    <t xml:space="preserve">B1. Em qual relatório você procura cada informação?</t>
  </si>
  <si>
    <t xml:space="preserve">#</t>
  </si>
  <si>
    <t xml:space="preserve">Item</t>
  </si>
  <si>
    <t xml:space="preserve">Resposta</t>
  </si>
  <si>
    <t xml:space="preserve">Check</t>
  </si>
  <si>
    <t xml:space="preserve">ex</t>
  </si>
  <si>
    <t xml:space="preserve">EXEMPLO: quanto a empresa tem de caixa hoje</t>
  </si>
  <si>
    <t xml:space="preserve">Quanto a empresa deve a bancos hoje</t>
  </si>
  <si>
    <t xml:space="preserve">Quanto ela gastou pra fabricar o que vendeu no ano</t>
  </si>
  <si>
    <t xml:space="preserve">Quanto pagou de dividendos no ano</t>
  </si>
  <si>
    <t xml:space="preserve">Se o estoque cresceu em relação ao ano passado</t>
  </si>
  <si>
    <t xml:space="preserve">Quanto caixa a operação gerou no ano</t>
  </si>
  <si>
    <t xml:space="preserve">O guidance de expansão pros próximos anos</t>
  </si>
  <si>
    <t xml:space="preserve">Detalhe de como uma linha do balanço foi calculada</t>
  </si>
  <si>
    <t xml:space="preserve">Acertos:</t>
  </si>
  <si>
    <t xml:space="preserve">B2. Custo ou despesa (e de qual tipo)?</t>
  </si>
  <si>
    <t xml:space="preserve">Salário do soldador na fábrica da Duratex</t>
  </si>
  <si>
    <t xml:space="preserve">Salário da equipe de loja da Vivara</t>
  </si>
  <si>
    <t xml:space="preserve">Salário do CFO</t>
  </si>
  <si>
    <t xml:space="preserve">Matéria-prima da joia</t>
  </si>
  <si>
    <t xml:space="preserve">Aluguel do escritório administrativo</t>
  </si>
  <si>
    <t xml:space="preserve">Salário do professor da FGV (pra FGV)</t>
  </si>
  <si>
    <t xml:space="preserve">Frete pra entregar produto vendido</t>
  </si>
  <si>
    <t xml:space="preserve">Energia elétrica da linha de produção</t>
  </si>
  <si>
    <t xml:space="preserve">B3. Qual atividade da DFC?</t>
  </si>
  <si>
    <t xml:space="preserve">Compra de uma máquina nova</t>
  </si>
  <si>
    <t xml:space="preserve">Recebimento de clientes</t>
  </si>
  <si>
    <t xml:space="preserve">Captação de empréstimo bancário</t>
  </si>
  <si>
    <t xml:space="preserve">Pagamento de dividendos</t>
  </si>
  <si>
    <t xml:space="preserve">Venda de um galpão antigo</t>
  </si>
  <si>
    <t xml:space="preserve">Mini-caso: Bicicletaria Serra SA (comércio)</t>
  </si>
  <si>
    <t xml:space="preserve">Valores em milhares. Despesas e saídas de caixa entram NEGATIVAS nas tuas respostas.</t>
  </si>
  <si>
    <t xml:space="preserve">Dados do caso (não mexe)</t>
  </si>
  <si>
    <t xml:space="preserve">Valor</t>
  </si>
  <si>
    <t xml:space="preserve">Receita líquida</t>
  </si>
  <si>
    <t xml:space="preserve">Mercadoria vendida (CMV)</t>
  </si>
  <si>
    <t xml:space="preserve">Despesas de vendas</t>
  </si>
  <si>
    <t xml:space="preserve">Despesas administrativas</t>
  </si>
  <si>
    <t xml:space="preserve">D&amp;A já embutida nas despesas acima</t>
  </si>
  <si>
    <t xml:space="preserve">Despesas financeiras</t>
  </si>
  <si>
    <t xml:space="preserve">Receitas financeiras</t>
  </si>
  <si>
    <t xml:space="preserve">Alíquota de IR</t>
  </si>
  <si>
    <t xml:space="preserve">Variação de contas a receber no ano</t>
  </si>
  <si>
    <t xml:space="preserve">Variação de estoques no ano</t>
  </si>
  <si>
    <t xml:space="preserve">Variação de fornecedores no ano</t>
  </si>
  <si>
    <t xml:space="preserve">Compra de imobilizado (capex)</t>
  </si>
  <si>
    <t xml:space="preserve">Novo empréstimo captado</t>
  </si>
  <si>
    <t xml:space="preserve">Amortização de empréstimo</t>
  </si>
  <si>
    <t xml:space="preserve">Dividendos pagos</t>
  </si>
  <si>
    <t xml:space="preserve">Caixa no início do ano</t>
  </si>
  <si>
    <t xml:space="preserve">C1. Monte a DRE completa</t>
  </si>
  <si>
    <t xml:space="preserve">Linha</t>
  </si>
  <si>
    <t xml:space="preserve">Seu valor</t>
  </si>
  <si>
    <t xml:space="preserve">(-) CMV</t>
  </si>
  <si>
    <t xml:space="preserve">(-) Despesas de vendas</t>
  </si>
  <si>
    <t xml:space="preserve">(-) Despesas administrativas</t>
  </si>
  <si>
    <t xml:space="preserve">(+/-) Resultado financeiro</t>
  </si>
  <si>
    <t xml:space="preserve">(-) IR</t>
  </si>
  <si>
    <t xml:space="preserve">C2. Margem bruta (em %)</t>
  </si>
  <si>
    <t xml:space="preserve">Margem bruta</t>
  </si>
  <si>
    <t xml:space="preserve">C3. FCO pelo método indireto</t>
  </si>
  <si>
    <t xml:space="preserve">Lucro líquido</t>
  </si>
  <si>
    <t xml:space="preserve">(+) D&amp;A</t>
  </si>
  <si>
    <t xml:space="preserve">(-) Aumento de contas a receber</t>
  </si>
  <si>
    <t xml:space="preserve">(-) Aumento de estoques</t>
  </si>
  <si>
    <t xml:space="preserve">(+) Aumento de fornecedores</t>
  </si>
  <si>
    <t xml:space="preserve">C4. DFC completa</t>
  </si>
  <si>
    <t xml:space="preserve">FCI (capex)</t>
  </si>
  <si>
    <t xml:space="preserve">FCF (empréstimos e dividendos)</t>
  </si>
  <si>
    <t xml:space="preserve">Caixa final</t>
  </si>
  <si>
    <t xml:space="preserve">C5. Prove que o balanço fecha (variações do ano)</t>
  </si>
  <si>
    <t xml:space="preserve">Δ Caixa</t>
  </si>
  <si>
    <t xml:space="preserve">Δ Contas a receber</t>
  </si>
  <si>
    <t xml:space="preserve">Δ Estoques</t>
  </si>
  <si>
    <t xml:space="preserve">Δ Imobilizado (capex menos D&amp;A)</t>
  </si>
  <si>
    <t xml:space="preserve">Δ Fornecedores</t>
  </si>
  <si>
    <t xml:space="preserve">Δ Empréstimos</t>
  </si>
  <si>
    <t xml:space="preserve">Δ PL (LL menos dividendos)</t>
  </si>
  <si>
    <t xml:space="preserve">C6. O lucro foi maior ou menor que a geração de caixa operacional? Por quê?</t>
  </si>
  <si>
    <t xml:space="preserve">Mini-caso: Livraria Alameda SA (comércio), números novos</t>
  </si>
  <si>
    <t xml:space="preserve">C6. O caixa da empresa CAIU no ano mesmo com lucro. Explica de onde veio a queda.</t>
  </si>
  <si>
    <t xml:space="preserve">Bloco D: pegadinhas estilo prova</t>
  </si>
  <si>
    <t xml:space="preserve">O relatório da empresa tem uma linha chamada 'lucro operacional' que vem depois do resultado financeiro. É o EBIT? O que você usa?</t>
  </si>
  <si>
    <t xml:space="preserve">Questão pede 'os investimentos mais relevantes da empresa'. Capital social e reservas de lucros entram na resposta?</t>
  </si>
  <si>
    <t xml:space="preserve">Cervejaria com margem bruta de 45% vs joalheria com 70%. Dá pra concluir que a joalheria agrega mais valor?</t>
  </si>
  <si>
    <t xml:space="preserve">O RA diz 'geração de caixa recorde'. Onde você confere e qual linha específica?</t>
  </si>
  <si>
    <t xml:space="preserve">Empresa comprou máquina de 200 à vista em dezembro. Efeito imediato no lucro do ano? No caixa? Nos lucros dos próximos anos?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</si>
</sst>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BFBFBF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008000"/>
      </font>
    </dxf>
    <dxf>
      <font>
        <name val="Arial"/>
        <charset val="1"/>
        <family val="0"/>
        <b val="1"/>
        <color rgb="FFFF000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00"/>
  </cols>
  <sheetData>
    <row r="2" customFormat="false" ht="17.3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3" t="s">
        <v>3</v>
      </c>
    </row>
    <row r="7" customFormat="false" ht="15" hidden="false" customHeight="false" outlineLevel="0" collapsed="false">
      <c r="B7" s="3" t="s">
        <v>4</v>
      </c>
    </row>
    <row r="8" customFormat="false" ht="15" hidden="false" customHeight="false" outlineLevel="0" collapsed="false">
      <c r="B8" s="3" t="s">
        <v>5</v>
      </c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3"/>
    </row>
    <row r="11" customFormat="false" ht="15" hidden="false" customHeight="false" outlineLevel="0" collapsed="false">
      <c r="B11" s="3" t="s">
        <v>7</v>
      </c>
    </row>
    <row r="12" customFormat="false" ht="26.85" hidden="false" customHeight="false" outlineLevel="0" collapsed="false">
      <c r="B12" s="3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60"/>
    <col collapsed="false" customWidth="true" hidden="false" outlineLevel="0" max="3" min="3" style="0" width="90"/>
    <col collapsed="false" customWidth="true" hidden="false" outlineLevel="0" max="4" min="4" style="0" width="45"/>
    <col collapsed="false" customWidth="true" hidden="false" outlineLevel="0" max="6" min="5" style="0" width="16"/>
    <col collapsed="false" customWidth="true" hidden="false" outlineLevel="0" max="8" min="7" style="0" width="90"/>
  </cols>
  <sheetData>
    <row r="1" customFormat="false" ht="17.35" hidden="false" customHeight="false" outlineLevel="0" collapsed="false">
      <c r="B1" s="1" t="s">
        <v>9</v>
      </c>
    </row>
    <row r="2" customFormat="false" ht="15" hidden="false" customHeight="false" outlineLevel="0" collapsed="false">
      <c r="E2" s="4" t="s">
        <v>10</v>
      </c>
      <c r="F2" s="4" t="s">
        <v>11</v>
      </c>
      <c r="G2" s="4" t="s">
        <v>12</v>
      </c>
      <c r="H2" s="4" t="s">
        <v>13</v>
      </c>
    </row>
    <row r="3" customFormat="false" ht="15" hidden="false" customHeight="false" outlineLevel="0" collapsed="false">
      <c r="B3" s="5"/>
      <c r="D3" s="5" t="s">
        <v>14</v>
      </c>
      <c r="E3" s="6" t="n">
        <f aca="false">C_Caso1!$C$5</f>
        <v>1000</v>
      </c>
      <c r="F3" s="6"/>
    </row>
    <row r="4" customFormat="false" ht="39.55" hidden="false" customHeight="false" outlineLevel="0" collapsed="false">
      <c r="B4" s="5"/>
      <c r="D4" s="5" t="s">
        <v>15</v>
      </c>
      <c r="E4" s="6" t="n">
        <f aca="false">-C_Caso1!$C$6</f>
        <v>-600</v>
      </c>
      <c r="F4" s="6"/>
      <c r="G4" s="3" t="s">
        <v>16</v>
      </c>
      <c r="H4" s="3" t="s">
        <v>17</v>
      </c>
    </row>
    <row r="5" customFormat="false" ht="26.85" hidden="false" customHeight="false" outlineLevel="0" collapsed="false">
      <c r="B5" s="5"/>
      <c r="C5" s="5" t="s">
        <v>18</v>
      </c>
      <c r="D5" s="5" t="s">
        <v>19</v>
      </c>
      <c r="E5" s="6" t="n">
        <f aca="false">C_Caso1!$C$5-C_Caso1!$C$6</f>
        <v>400</v>
      </c>
      <c r="F5" s="6"/>
      <c r="G5" s="3" t="s">
        <v>20</v>
      </c>
      <c r="H5" s="3" t="s">
        <v>21</v>
      </c>
    </row>
    <row r="6" customFormat="false" ht="39.55" hidden="false" customHeight="false" outlineLevel="0" collapsed="false">
      <c r="B6" s="5"/>
      <c r="C6" s="5" t="s">
        <v>18</v>
      </c>
      <c r="D6" s="5" t="s">
        <v>22</v>
      </c>
      <c r="E6" s="6" t="n">
        <f aca="false">-C_Caso1!$C$7</f>
        <v>-120</v>
      </c>
      <c r="F6" s="6"/>
      <c r="G6" s="3" t="s">
        <v>23</v>
      </c>
      <c r="H6" s="3" t="s">
        <v>24</v>
      </c>
    </row>
    <row r="7" customFormat="false" ht="39.55" hidden="false" customHeight="false" outlineLevel="0" collapsed="false">
      <c r="B7" s="5"/>
      <c r="C7" s="5" t="s">
        <v>25</v>
      </c>
      <c r="D7" s="5" t="s">
        <v>26</v>
      </c>
      <c r="E7" s="6" t="n">
        <f aca="false">-C_Caso1!$C$8</f>
        <v>-80</v>
      </c>
      <c r="F7" s="6"/>
      <c r="G7" s="3" t="s">
        <v>27</v>
      </c>
      <c r="H7" s="3" t="s">
        <v>28</v>
      </c>
    </row>
    <row r="8" customFormat="false" ht="39.55" hidden="false" customHeight="false" outlineLevel="0" collapsed="false">
      <c r="B8" s="5"/>
      <c r="C8" s="5" t="s">
        <v>29</v>
      </c>
      <c r="D8" s="5" t="s">
        <v>30</v>
      </c>
      <c r="E8" s="6" t="n">
        <f aca="false">C_Caso1!$C$5-C_Caso1!$C$6-C_Caso1!$C$7-C_Caso1!$C$8</f>
        <v>200</v>
      </c>
      <c r="F8" s="6"/>
      <c r="G8" s="3" t="s">
        <v>31</v>
      </c>
      <c r="H8" s="3" t="s">
        <v>32</v>
      </c>
    </row>
    <row r="9" customFormat="false" ht="26.85" hidden="false" customHeight="false" outlineLevel="0" collapsed="false">
      <c r="B9" s="5"/>
      <c r="C9" s="5" t="s">
        <v>18</v>
      </c>
      <c r="D9" s="5" t="s">
        <v>33</v>
      </c>
      <c r="E9" s="6" t="n">
        <f aca="false">C_Caso1!$C$11-C_Caso1!$C$10</f>
        <v>-30</v>
      </c>
      <c r="F9" s="6"/>
      <c r="H9" s="3" t="s">
        <v>34</v>
      </c>
    </row>
    <row r="10" customFormat="false" ht="26.85" hidden="false" customHeight="false" outlineLevel="0" collapsed="false">
      <c r="B10" s="5"/>
      <c r="C10" s="5" t="s">
        <v>29</v>
      </c>
      <c r="D10" s="5" t="s">
        <v>35</v>
      </c>
      <c r="E10" s="6" t="n">
        <f aca="false">C_Caso1!$C$5-C_Caso1!$C$6-C_Caso1!$C$7-C_Caso1!$C$8+C_Caso1!$C$11-C_Caso1!$C$10</f>
        <v>170</v>
      </c>
      <c r="F10" s="6"/>
      <c r="H10" s="3" t="s">
        <v>36</v>
      </c>
    </row>
    <row r="11" customFormat="false" ht="15" hidden="false" customHeight="false" outlineLevel="0" collapsed="false">
      <c r="B11" s="5"/>
      <c r="C11" s="5" t="s">
        <v>37</v>
      </c>
      <c r="D11" s="5" t="s">
        <v>38</v>
      </c>
      <c r="E11" s="6" t="n">
        <f aca="false">-(C_Caso1!$C$5-C_Caso1!$C$6-C_Caso1!$C$7-C_Caso1!$C$8+C_Caso1!$C$11-C_Caso1!$C$10)*C_Caso1!$C$12</f>
        <v>-51</v>
      </c>
      <c r="F11" s="6"/>
    </row>
    <row r="12" customFormat="false" ht="15" hidden="false" customHeight="false" outlineLevel="0" collapsed="false">
      <c r="B12" s="5"/>
      <c r="C12" s="5" t="s">
        <v>39</v>
      </c>
      <c r="D12" s="5" t="s">
        <v>40</v>
      </c>
      <c r="E12" s="6" t="n">
        <f aca="false">(C_Caso1!$C$5-C_Caso1!$C$6-C_Caso1!$C$7-C_Caso1!$C$8+C_Caso1!$C$11-C_Caso1!$C$10)*(1-C_Caso1!$C$12)</f>
        <v>119</v>
      </c>
      <c r="F12" s="6"/>
    </row>
    <row r="13" customFormat="false" ht="15" hidden="false" customHeight="false" outlineLevel="0" collapsed="false">
      <c r="B13" s="5"/>
      <c r="D13" s="5" t="s">
        <v>41</v>
      </c>
      <c r="E13" s="7" t="n">
        <f aca="false">(C_Caso1!$C$5-C_Caso1!$C$6)/C_Caso1!$C$5</f>
        <v>0.4</v>
      </c>
      <c r="F13" s="7"/>
    </row>
    <row r="14" customFormat="false" ht="15" hidden="false" customHeight="false" outlineLevel="0" collapsed="false">
      <c r="B14" s="5"/>
      <c r="D14" s="5" t="s">
        <v>42</v>
      </c>
      <c r="E14" s="6" t="n">
        <f aca="false">(C_Caso1!$C$5-C_Caso1!$C$6-C_Caso1!$C$7-C_Caso1!$C$8+C_Caso1!$C$11-C_Caso1!$C$10)*(1-C_Caso1!$C$12)</f>
        <v>119</v>
      </c>
      <c r="F14" s="6"/>
    </row>
    <row r="15" customFormat="false" ht="15" hidden="false" customHeight="false" outlineLevel="0" collapsed="false">
      <c r="B15" s="5"/>
      <c r="D15" s="5" t="s">
        <v>43</v>
      </c>
      <c r="E15" s="6" t="n">
        <f aca="false">C_Caso1!$C$9</f>
        <v>30</v>
      </c>
      <c r="F15" s="6"/>
    </row>
    <row r="16" customFormat="false" ht="15" hidden="false" customHeight="false" outlineLevel="0" collapsed="false">
      <c r="B16" s="5"/>
      <c r="D16" s="5" t="s">
        <v>44</v>
      </c>
      <c r="E16" s="6" t="n">
        <f aca="false">-C_Caso1!$C$13</f>
        <v>-50</v>
      </c>
      <c r="F16" s="6"/>
    </row>
    <row r="17" customFormat="false" ht="15" hidden="false" customHeight="false" outlineLevel="0" collapsed="false">
      <c r="B17" s="5"/>
      <c r="C17" s="5" t="s">
        <v>45</v>
      </c>
      <c r="D17" s="5" t="s">
        <v>46</v>
      </c>
      <c r="E17" s="6" t="n">
        <f aca="false">-C_Caso1!$C$14</f>
        <v>-40</v>
      </c>
      <c r="F17" s="6"/>
    </row>
    <row r="18" customFormat="false" ht="15" hidden="false" customHeight="false" outlineLevel="0" collapsed="false">
      <c r="B18" s="5"/>
      <c r="C18" s="5" t="s">
        <v>47</v>
      </c>
      <c r="D18" s="5" t="s">
        <v>48</v>
      </c>
      <c r="E18" s="6" t="n">
        <f aca="false">C_Caso1!$C$15</f>
        <v>20</v>
      </c>
      <c r="F18" s="6"/>
    </row>
    <row r="19" customFormat="false" ht="15" hidden="false" customHeight="false" outlineLevel="0" collapsed="false">
      <c r="B19" s="5"/>
      <c r="C19" s="5" t="s">
        <v>49</v>
      </c>
      <c r="D19" s="5" t="s">
        <v>50</v>
      </c>
      <c r="E19" s="6" t="n">
        <f aca="false">((C_Caso1!$C$5-C_Caso1!$C$6-C_Caso1!$C$7-C_Caso1!$C$8+C_Caso1!$C$11-C_Caso1!$C$10)*(1-C_Caso1!$C$12))+C_Caso1!$C$9-C_Caso1!$C$13-C_Caso1!$C$14+C_Caso1!$C$15</f>
        <v>79</v>
      </c>
      <c r="F19" s="6"/>
    </row>
    <row r="20" customFormat="false" ht="15" hidden="false" customHeight="false" outlineLevel="0" collapsed="false">
      <c r="B20" s="5"/>
      <c r="C20" s="5" t="s">
        <v>45</v>
      </c>
      <c r="D20" s="5" t="s">
        <v>50</v>
      </c>
      <c r="E20" s="6" t="n">
        <f aca="false">((C_Caso1!$C$5-C_Caso1!$C$6-C_Caso1!$C$7-C_Caso1!$C$8+C_Caso1!$C$11-C_Caso1!$C$10)*(1-C_Caso1!$C$12))+C_Caso1!$C$9-C_Caso1!$C$13-C_Caso1!$C$14+C_Caso1!$C$15</f>
        <v>79</v>
      </c>
      <c r="F20" s="6"/>
    </row>
    <row r="21" customFormat="false" ht="15" hidden="false" customHeight="false" outlineLevel="0" collapsed="false">
      <c r="B21" s="5"/>
      <c r="C21" s="5" t="s">
        <v>49</v>
      </c>
      <c r="D21" s="5" t="s">
        <v>51</v>
      </c>
      <c r="E21" s="6" t="n">
        <f aca="false">-C_Caso1!$C$16</f>
        <v>-100</v>
      </c>
      <c r="F21" s="6"/>
    </row>
    <row r="22" customFormat="false" ht="15" hidden="false" customHeight="false" outlineLevel="0" collapsed="false">
      <c r="B22" s="5"/>
      <c r="C22" s="5" t="s">
        <v>45</v>
      </c>
      <c r="D22" s="5" t="s">
        <v>52</v>
      </c>
      <c r="E22" s="6" t="n">
        <f aca="false">C_Caso1!$C$17-C_Caso1!$C$18-C_Caso1!$C$19</f>
        <v>30</v>
      </c>
      <c r="F22" s="6"/>
    </row>
    <row r="23" customFormat="false" ht="15" hidden="false" customHeight="false" outlineLevel="0" collapsed="false">
      <c r="B23" s="5"/>
      <c r="C23" s="5" t="s">
        <v>47</v>
      </c>
      <c r="D23" s="5" t="s">
        <v>53</v>
      </c>
      <c r="E23" s="6" t="n">
        <f aca="false">(((C_Caso1!$C$5-C_Caso1!$C$6-C_Caso1!$C$7-C_Caso1!$C$8+C_Caso1!$C$11-C_Caso1!$C$10)*(1-C_Caso1!$C$12))+C_Caso1!$C$9-C_Caso1!$C$13-C_Caso1!$C$14+C_Caso1!$C$15)+(-C_Caso1!$C$16)+(C_Caso1!$C$17-C_Caso1!$C$18-C_Caso1!$C$19)</f>
        <v>9</v>
      </c>
      <c r="F23" s="6"/>
    </row>
    <row r="24" customFormat="false" ht="15" hidden="false" customHeight="false" outlineLevel="0" collapsed="false">
      <c r="B24" s="5"/>
      <c r="C24" s="5" t="s">
        <v>45</v>
      </c>
      <c r="D24" s="5" t="s">
        <v>54</v>
      </c>
      <c r="E24" s="6" t="n">
        <f aca="false">((((C_Caso1!$C$5-C_Caso1!$C$6-C_Caso1!$C$7-C_Caso1!$C$8+C_Caso1!$C$11-C_Caso1!$C$10)*(1-C_Caso1!$C$12))+C_Caso1!$C$9-C_Caso1!$C$13-C_Caso1!$C$14+C_Caso1!$C$15)+(-C_Caso1!$C$16)+(C_Caso1!$C$17-C_Caso1!$C$18-C_Caso1!$C$19))+C_Caso1!$C$20</f>
        <v>50</v>
      </c>
      <c r="F24" s="6"/>
    </row>
    <row r="25" customFormat="false" ht="15" hidden="false" customHeight="false" outlineLevel="0" collapsed="false">
      <c r="B25" s="5"/>
      <c r="D25" s="5" t="s">
        <v>55</v>
      </c>
      <c r="E25" s="6" t="n">
        <f aca="false">(((C_Caso1!$C$5-C_Caso1!$C$6-C_Caso1!$C$7-C_Caso1!$C$8+C_Caso1!$C$11-C_Caso1!$C$10)*(1-C_Caso1!$C$12))+C_Caso1!$C$9-C_Caso1!$C$13-C_Caso1!$C$14+C_Caso1!$C$15)+(-C_Caso1!$C$16)+(C_Caso1!$C$17-C_Caso1!$C$18-C_Caso1!$C$19)</f>
        <v>9</v>
      </c>
      <c r="F25" s="6"/>
    </row>
    <row r="26" customFormat="false" ht="15" hidden="false" customHeight="false" outlineLevel="0" collapsed="false">
      <c r="B26" s="5"/>
      <c r="D26" s="5" t="s">
        <v>56</v>
      </c>
      <c r="E26" s="6" t="n">
        <f aca="false">C_Caso1!$C$13</f>
        <v>50</v>
      </c>
      <c r="F26" s="6"/>
    </row>
    <row r="27" customFormat="false" ht="15" hidden="false" customHeight="false" outlineLevel="0" collapsed="false">
      <c r="B27" s="5"/>
      <c r="D27" s="5" t="s">
        <v>57</v>
      </c>
      <c r="E27" s="6" t="n">
        <f aca="false">C_Caso1!$C$14</f>
        <v>40</v>
      </c>
      <c r="F27" s="6"/>
    </row>
    <row r="28" customFormat="false" ht="15" hidden="false" customHeight="false" outlineLevel="0" collapsed="false">
      <c r="B28" s="5"/>
      <c r="D28" s="5" t="s">
        <v>58</v>
      </c>
      <c r="E28" s="6" t="n">
        <f aca="false">C_Caso1!$C$16-C_Caso1!$C$9</f>
        <v>70</v>
      </c>
      <c r="F28" s="6"/>
    </row>
    <row r="29" customFormat="false" ht="15" hidden="false" customHeight="false" outlineLevel="0" collapsed="false">
      <c r="B29" s="5"/>
      <c r="C29" s="5" t="s">
        <v>59</v>
      </c>
      <c r="D29" s="5" t="s">
        <v>60</v>
      </c>
      <c r="E29" s="6" t="n">
        <f aca="false">((((C_Caso1!$C$5-C_Caso1!$C$6-C_Caso1!$C$7-C_Caso1!$C$8+C_Caso1!$C$11-C_Caso1!$C$10)*(1-C_Caso1!$C$12))+C_Caso1!$C$9-C_Caso1!$C$13-C_Caso1!$C$14+C_Caso1!$C$15)+(-C_Caso1!$C$16)+(C_Caso1!$C$17-C_Caso1!$C$18-C_Caso1!$C$19))+C_Caso1!$C$13+C_Caso1!$C$14+C_Caso1!$C$16-C_Caso1!$C$9</f>
        <v>169</v>
      </c>
      <c r="F29" s="6"/>
    </row>
    <row r="30" customFormat="false" ht="15" hidden="false" customHeight="false" outlineLevel="0" collapsed="false">
      <c r="B30" s="5"/>
      <c r="C30" s="5" t="s">
        <v>61</v>
      </c>
      <c r="D30" s="5" t="s">
        <v>62</v>
      </c>
      <c r="E30" s="6" t="n">
        <f aca="false">C_Caso1!$C$15</f>
        <v>20</v>
      </c>
      <c r="F30" s="6"/>
    </row>
    <row r="31" customFormat="false" ht="15" hidden="false" customHeight="false" outlineLevel="0" collapsed="false">
      <c r="B31" s="5"/>
      <c r="C31" s="5" t="s">
        <v>63</v>
      </c>
      <c r="D31" s="5" t="s">
        <v>64</v>
      </c>
      <c r="E31" s="6" t="n">
        <f aca="false">C_Caso1!$C$17-C_Caso1!$C$18</f>
        <v>60</v>
      </c>
      <c r="F31" s="6"/>
    </row>
    <row r="32" customFormat="false" ht="15" hidden="false" customHeight="false" outlineLevel="0" collapsed="false">
      <c r="B32" s="5"/>
      <c r="C32" s="5" t="s">
        <v>63</v>
      </c>
      <c r="D32" s="5" t="s">
        <v>65</v>
      </c>
      <c r="E32" s="6" t="n">
        <f aca="false">((C_Caso1!$C$5-C_Caso1!$C$6-C_Caso1!$C$7-C_Caso1!$C$8+C_Caso1!$C$11-C_Caso1!$C$10)*(1-C_Caso1!$C$12))-C_Caso1!$C$19</f>
        <v>89</v>
      </c>
      <c r="F32" s="6"/>
    </row>
    <row r="33" customFormat="false" ht="15" hidden="false" customHeight="false" outlineLevel="0" collapsed="false">
      <c r="B33" s="5"/>
      <c r="C33" s="5" t="s">
        <v>59</v>
      </c>
      <c r="D33" s="5" t="s">
        <v>66</v>
      </c>
      <c r="E33" s="6" t="n">
        <f aca="false">C_Caso1!$C$15+C_Caso1!$C$17-C_Caso1!$C$18+((C_Caso1!$C$5-C_Caso1!$C$6-C_Caso1!$C$7-C_Caso1!$C$8+C_Caso1!$C$11-C_Caso1!$C$10)*(1-C_Caso1!$C$12))-C_Caso1!$C$19</f>
        <v>169</v>
      </c>
      <c r="F33" s="6"/>
    </row>
    <row r="34" customFormat="false" ht="255.2" hidden="false" customHeight="false" outlineLevel="0" collapsed="false">
      <c r="B34" s="5" t="s">
        <v>67</v>
      </c>
      <c r="C34" s="5" t="s">
        <v>61</v>
      </c>
      <c r="D34" s="5" t="s">
        <v>68</v>
      </c>
      <c r="E34" s="3" t="s">
        <v>69</v>
      </c>
      <c r="F34" s="3" t="s">
        <v>70</v>
      </c>
    </row>
    <row r="35" customFormat="false" ht="15" hidden="false" customHeight="false" outlineLevel="0" collapsed="false">
      <c r="B35" s="5" t="s">
        <v>71</v>
      </c>
      <c r="C35" s="5" t="s">
        <v>63</v>
      </c>
    </row>
    <row r="36" customFormat="false" ht="15" hidden="false" customHeight="false" outlineLevel="0" collapsed="false">
      <c r="B36" s="5" t="s">
        <v>72</v>
      </c>
      <c r="C36" s="5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70"/>
  </cols>
  <sheetData>
    <row r="1" customFormat="false" ht="15" hidden="false" customHeight="false" outlineLevel="0" collapsed="false">
      <c r="B1" s="8" t="s">
        <v>73</v>
      </c>
    </row>
    <row r="3" customFormat="false" ht="15" hidden="false" customHeight="false" outlineLevel="0" collapsed="false">
      <c r="B3" s="9" t="s">
        <v>74</v>
      </c>
      <c r="C3" s="9" t="s">
        <v>75</v>
      </c>
    </row>
    <row r="4" customFormat="false" ht="60" hidden="false" customHeight="true" outlineLevel="0" collapsed="false">
      <c r="A4" s="10" t="n">
        <v>1</v>
      </c>
      <c r="B4" s="11" t="s">
        <v>76</v>
      </c>
      <c r="C4" s="12"/>
    </row>
    <row r="5" customFormat="false" ht="60" hidden="false" customHeight="true" outlineLevel="0" collapsed="false">
      <c r="A5" s="10" t="n">
        <v>2</v>
      </c>
      <c r="B5" s="11" t="s">
        <v>77</v>
      </c>
      <c r="C5" s="12"/>
    </row>
    <row r="6" customFormat="false" ht="60" hidden="false" customHeight="true" outlineLevel="0" collapsed="false">
      <c r="A6" s="10" t="n">
        <v>3</v>
      </c>
      <c r="B6" s="11" t="s">
        <v>78</v>
      </c>
      <c r="C6" s="12"/>
    </row>
    <row r="7" customFormat="false" ht="60" hidden="false" customHeight="true" outlineLevel="0" collapsed="false">
      <c r="A7" s="10" t="n">
        <v>4</v>
      </c>
      <c r="B7" s="11" t="s">
        <v>79</v>
      </c>
      <c r="C7" s="12"/>
    </row>
    <row r="8" customFormat="false" ht="60" hidden="false" customHeight="true" outlineLevel="0" collapsed="false">
      <c r="A8" s="10" t="n">
        <v>5</v>
      </c>
      <c r="B8" s="11" t="s">
        <v>80</v>
      </c>
      <c r="C8" s="12"/>
    </row>
    <row r="9" customFormat="false" ht="60" hidden="false" customHeight="true" outlineLevel="0" collapsed="false">
      <c r="A9" s="10" t="n">
        <v>6</v>
      </c>
      <c r="B9" s="11" t="s">
        <v>81</v>
      </c>
      <c r="C9" s="12"/>
    </row>
    <row r="10" customFormat="false" ht="60" hidden="false" customHeight="true" outlineLevel="0" collapsed="false">
      <c r="A10" s="10" t="n">
        <v>7</v>
      </c>
      <c r="B10" s="11" t="s">
        <v>82</v>
      </c>
      <c r="C10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5"/>
    <col collapsed="false" customWidth="true" hidden="false" outlineLevel="0" max="3" min="3" style="0" width="26"/>
    <col collapsed="false" customWidth="true" hidden="false" outlineLevel="0" max="4" min="4" style="0" width="8"/>
  </cols>
  <sheetData>
    <row r="1" customFormat="false" ht="15" hidden="false" customHeight="false" outlineLevel="0" collapsed="false">
      <c r="B1" s="8" t="s">
        <v>83</v>
      </c>
    </row>
    <row r="3" customFormat="false" ht="15" hidden="false" customHeight="false" outlineLevel="0" collapsed="false">
      <c r="B3" s="4" t="s">
        <v>84</v>
      </c>
    </row>
    <row r="4" customFormat="false" ht="15" hidden="false" customHeight="false" outlineLevel="0" collapsed="false">
      <c r="A4" s="13" t="s">
        <v>85</v>
      </c>
      <c r="B4" s="9" t="s">
        <v>86</v>
      </c>
      <c r="C4" s="9" t="s">
        <v>87</v>
      </c>
      <c r="D4" s="13" t="s">
        <v>88</v>
      </c>
    </row>
    <row r="5" customFormat="false" ht="15" hidden="false" customHeight="false" outlineLevel="0" collapsed="false">
      <c r="A5" s="10" t="s">
        <v>89</v>
      </c>
      <c r="B5" s="11" t="s">
        <v>90</v>
      </c>
      <c r="C5" s="14" t="s">
        <v>18</v>
      </c>
      <c r="D5" s="15" t="str">
        <f aca="false">IF(C5="","",IF(C5=Gabarito!C5,"✔","✗"))</f>
        <v>✔</v>
      </c>
    </row>
    <row r="6" customFormat="false" ht="15" hidden="false" customHeight="false" outlineLevel="0" collapsed="false">
      <c r="A6" s="10" t="n">
        <v>1</v>
      </c>
      <c r="B6" s="11" t="s">
        <v>91</v>
      </c>
      <c r="C6" s="16"/>
      <c r="D6" s="15" t="str">
        <f aca="false">IF(C6="","",IF(C6=Gabarito!C6,"✔","✗"))</f>
        <v/>
      </c>
    </row>
    <row r="7" customFormat="false" ht="15" hidden="false" customHeight="false" outlineLevel="0" collapsed="false">
      <c r="A7" s="10" t="n">
        <v>2</v>
      </c>
      <c r="B7" s="11" t="s">
        <v>92</v>
      </c>
      <c r="C7" s="16"/>
      <c r="D7" s="15" t="str">
        <f aca="false">IF(C7="","",IF(C7=Gabarito!C7,"✔","✗"))</f>
        <v/>
      </c>
    </row>
    <row r="8" customFormat="false" ht="15" hidden="false" customHeight="false" outlineLevel="0" collapsed="false">
      <c r="A8" s="10" t="n">
        <v>3</v>
      </c>
      <c r="B8" s="11" t="s">
        <v>93</v>
      </c>
      <c r="C8" s="16"/>
      <c r="D8" s="15" t="str">
        <f aca="false">IF(C8="","",IF(C8=Gabarito!C8,"✔","✗"))</f>
        <v/>
      </c>
    </row>
    <row r="9" customFormat="false" ht="15" hidden="false" customHeight="false" outlineLevel="0" collapsed="false">
      <c r="A9" s="10" t="n">
        <v>4</v>
      </c>
      <c r="B9" s="11" t="s">
        <v>94</v>
      </c>
      <c r="C9" s="16"/>
      <c r="D9" s="15" t="str">
        <f aca="false">IF(C9="","",IF(C9=Gabarito!C9,"✔","✗"))</f>
        <v/>
      </c>
    </row>
    <row r="10" customFormat="false" ht="15" hidden="false" customHeight="false" outlineLevel="0" collapsed="false">
      <c r="A10" s="10" t="n">
        <v>5</v>
      </c>
      <c r="B10" s="11" t="s">
        <v>95</v>
      </c>
      <c r="C10" s="16"/>
      <c r="D10" s="15" t="str">
        <f aca="false">IF(C10="","",IF(C10=Gabarito!C10,"✔","✗"))</f>
        <v/>
      </c>
    </row>
    <row r="11" customFormat="false" ht="15" hidden="false" customHeight="false" outlineLevel="0" collapsed="false">
      <c r="A11" s="10" t="n">
        <v>6</v>
      </c>
      <c r="B11" s="11" t="s">
        <v>96</v>
      </c>
      <c r="C11" s="16"/>
      <c r="D11" s="15" t="str">
        <f aca="false">IF(C11="","",IF(C11=Gabarito!C11,"✔","✗"))</f>
        <v/>
      </c>
    </row>
    <row r="12" customFormat="false" ht="15" hidden="false" customHeight="false" outlineLevel="0" collapsed="false">
      <c r="A12" s="10" t="n">
        <v>7</v>
      </c>
      <c r="B12" s="11" t="s">
        <v>97</v>
      </c>
      <c r="C12" s="16"/>
      <c r="D12" s="15" t="str">
        <f aca="false">IF(C12="","",IF(C12=Gabarito!C12,"✔","✗"))</f>
        <v/>
      </c>
    </row>
    <row r="13" customFormat="false" ht="15" hidden="false" customHeight="false" outlineLevel="0" collapsed="false">
      <c r="C13" s="4" t="s">
        <v>98</v>
      </c>
      <c r="D13" s="17" t="str">
        <f aca="false">COUNTIF(D6:D12,"✔")&amp;" / 7"</f>
        <v>0 / 7</v>
      </c>
    </row>
    <row r="15" customFormat="false" ht="15" hidden="false" customHeight="false" outlineLevel="0" collapsed="false">
      <c r="B15" s="4" t="s">
        <v>99</v>
      </c>
    </row>
    <row r="16" customFormat="false" ht="15" hidden="false" customHeight="false" outlineLevel="0" collapsed="false">
      <c r="A16" s="13" t="s">
        <v>85</v>
      </c>
      <c r="B16" s="9" t="s">
        <v>86</v>
      </c>
      <c r="C16" s="9" t="s">
        <v>87</v>
      </c>
      <c r="D16" s="13" t="s">
        <v>88</v>
      </c>
    </row>
    <row r="17" customFormat="false" ht="15" hidden="false" customHeight="false" outlineLevel="0" collapsed="false">
      <c r="A17" s="10" t="n">
        <v>0</v>
      </c>
      <c r="B17" s="11" t="s">
        <v>100</v>
      </c>
      <c r="C17" s="16"/>
      <c r="D17" s="15" t="str">
        <f aca="false">IF(C17="","",IF(C17=Gabarito!C17,"✔","✗"))</f>
        <v/>
      </c>
    </row>
    <row r="18" customFormat="false" ht="15" hidden="false" customHeight="false" outlineLevel="0" collapsed="false">
      <c r="A18" s="10" t="n">
        <v>1</v>
      </c>
      <c r="B18" s="11" t="s">
        <v>101</v>
      </c>
      <c r="C18" s="16"/>
      <c r="D18" s="15" t="str">
        <f aca="false">IF(C18="","",IF(C18=Gabarito!C18,"✔","✗"))</f>
        <v/>
      </c>
    </row>
    <row r="19" customFormat="false" ht="15" hidden="false" customHeight="false" outlineLevel="0" collapsed="false">
      <c r="A19" s="10" t="n">
        <v>2</v>
      </c>
      <c r="B19" s="11" t="s">
        <v>102</v>
      </c>
      <c r="C19" s="16"/>
      <c r="D19" s="15" t="str">
        <f aca="false">IF(C19="","",IF(C19=Gabarito!C19,"✔","✗"))</f>
        <v/>
      </c>
    </row>
    <row r="20" customFormat="false" ht="15" hidden="false" customHeight="false" outlineLevel="0" collapsed="false">
      <c r="A20" s="10" t="n">
        <v>3</v>
      </c>
      <c r="B20" s="11" t="s">
        <v>103</v>
      </c>
      <c r="C20" s="16"/>
      <c r="D20" s="15" t="str">
        <f aca="false">IF(C20="","",IF(C20=Gabarito!C20,"✔","✗"))</f>
        <v/>
      </c>
    </row>
    <row r="21" customFormat="false" ht="15" hidden="false" customHeight="false" outlineLevel="0" collapsed="false">
      <c r="A21" s="10" t="n">
        <v>4</v>
      </c>
      <c r="B21" s="11" t="s">
        <v>104</v>
      </c>
      <c r="C21" s="16"/>
      <c r="D21" s="15" t="str">
        <f aca="false">IF(C21="","",IF(C21=Gabarito!C21,"✔","✗"))</f>
        <v/>
      </c>
    </row>
    <row r="22" customFormat="false" ht="15" hidden="false" customHeight="false" outlineLevel="0" collapsed="false">
      <c r="A22" s="10" t="n">
        <v>5</v>
      </c>
      <c r="B22" s="11" t="s">
        <v>105</v>
      </c>
      <c r="C22" s="16"/>
      <c r="D22" s="15" t="str">
        <f aca="false">IF(C22="","",IF(C22=Gabarito!C22,"✔","✗"))</f>
        <v/>
      </c>
    </row>
    <row r="23" customFormat="false" ht="15" hidden="false" customHeight="false" outlineLevel="0" collapsed="false">
      <c r="A23" s="10" t="n">
        <v>6</v>
      </c>
      <c r="B23" s="11" t="s">
        <v>106</v>
      </c>
      <c r="C23" s="16"/>
      <c r="D23" s="15" t="str">
        <f aca="false">IF(C23="","",IF(C23=Gabarito!C23,"✔","✗"))</f>
        <v/>
      </c>
    </row>
    <row r="24" customFormat="false" ht="15" hidden="false" customHeight="false" outlineLevel="0" collapsed="false">
      <c r="A24" s="10" t="n">
        <v>7</v>
      </c>
      <c r="B24" s="11" t="s">
        <v>107</v>
      </c>
      <c r="C24" s="16"/>
      <c r="D24" s="15" t="str">
        <f aca="false">IF(C24="","",IF(C24=Gabarito!C24,"✔","✗"))</f>
        <v/>
      </c>
    </row>
    <row r="25" customFormat="false" ht="15" hidden="false" customHeight="false" outlineLevel="0" collapsed="false">
      <c r="C25" s="4" t="s">
        <v>98</v>
      </c>
      <c r="D25" s="17" t="str">
        <f aca="false">COUNTIF(D18:D24,"✔")&amp;" / 7"</f>
        <v>0 / 7</v>
      </c>
    </row>
    <row r="27" customFormat="false" ht="15" hidden="false" customHeight="false" outlineLevel="0" collapsed="false">
      <c r="B27" s="4" t="s">
        <v>108</v>
      </c>
    </row>
    <row r="28" customFormat="false" ht="15" hidden="false" customHeight="false" outlineLevel="0" collapsed="false">
      <c r="A28" s="13" t="s">
        <v>85</v>
      </c>
      <c r="B28" s="9" t="s">
        <v>86</v>
      </c>
      <c r="C28" s="9" t="s">
        <v>87</v>
      </c>
      <c r="D28" s="13" t="s">
        <v>88</v>
      </c>
    </row>
    <row r="29" customFormat="false" ht="15" hidden="false" customHeight="false" outlineLevel="0" collapsed="false">
      <c r="A29" s="10" t="n">
        <v>0</v>
      </c>
      <c r="B29" s="11" t="s">
        <v>109</v>
      </c>
      <c r="C29" s="16"/>
      <c r="D29" s="15" t="str">
        <f aca="false">IF(C29="","",IF(C29=Gabarito!C29,"✔","✗"))</f>
        <v/>
      </c>
    </row>
    <row r="30" customFormat="false" ht="15" hidden="false" customHeight="false" outlineLevel="0" collapsed="false">
      <c r="A30" s="10" t="n">
        <v>1</v>
      </c>
      <c r="B30" s="11" t="s">
        <v>110</v>
      </c>
      <c r="C30" s="16"/>
      <c r="D30" s="15" t="str">
        <f aca="false">IF(C30="","",IF(C30=Gabarito!C30,"✔","✗"))</f>
        <v/>
      </c>
    </row>
    <row r="31" customFormat="false" ht="15" hidden="false" customHeight="false" outlineLevel="0" collapsed="false">
      <c r="A31" s="10" t="n">
        <v>2</v>
      </c>
      <c r="B31" s="11" t="s">
        <v>111</v>
      </c>
      <c r="C31" s="16"/>
      <c r="D31" s="15" t="str">
        <f aca="false">IF(C31="","",IF(C31=Gabarito!C31,"✔","✗"))</f>
        <v/>
      </c>
    </row>
    <row r="32" customFormat="false" ht="15" hidden="false" customHeight="false" outlineLevel="0" collapsed="false">
      <c r="A32" s="10" t="n">
        <v>3</v>
      </c>
      <c r="B32" s="11" t="s">
        <v>112</v>
      </c>
      <c r="C32" s="16"/>
      <c r="D32" s="15" t="str">
        <f aca="false">IF(C32="","",IF(C32=Gabarito!C32,"✔","✗"))</f>
        <v/>
      </c>
    </row>
    <row r="33" customFormat="false" ht="15" hidden="false" customHeight="false" outlineLevel="0" collapsed="false">
      <c r="A33" s="10" t="n">
        <v>4</v>
      </c>
      <c r="B33" s="11" t="s">
        <v>113</v>
      </c>
      <c r="C33" s="16"/>
      <c r="D33" s="15" t="str">
        <f aca="false">IF(C33="","",IF(C33=Gabarito!C33,"✔","✗"))</f>
        <v/>
      </c>
    </row>
    <row r="34" customFormat="false" ht="15" hidden="false" customHeight="false" outlineLevel="0" collapsed="false">
      <c r="A34" s="10" t="n">
        <v>5</v>
      </c>
      <c r="B34" s="11" t="s">
        <v>67</v>
      </c>
      <c r="C34" s="16"/>
      <c r="D34" s="15" t="str">
        <f aca="false">IF(C34="","",IF(C34=Gabarito!C34,"✔","✗"))</f>
        <v/>
      </c>
    </row>
    <row r="35" customFormat="false" ht="15" hidden="false" customHeight="false" outlineLevel="0" collapsed="false">
      <c r="A35" s="10" t="n">
        <v>6</v>
      </c>
      <c r="B35" s="11" t="s">
        <v>71</v>
      </c>
      <c r="C35" s="16"/>
      <c r="D35" s="15" t="str">
        <f aca="false">IF(C35="","",IF(C35=Gabarito!C35,"✔","✗"))</f>
        <v/>
      </c>
    </row>
    <row r="36" customFormat="false" ht="15" hidden="false" customHeight="false" outlineLevel="0" collapsed="false">
      <c r="A36" s="10" t="n">
        <v>7</v>
      </c>
      <c r="B36" s="11" t="s">
        <v>72</v>
      </c>
      <c r="C36" s="16"/>
      <c r="D36" s="15" t="str">
        <f aca="false">IF(C36="","",IF(C36=Gabarito!C36,"✔","✗"))</f>
        <v/>
      </c>
    </row>
    <row r="37" customFormat="false" ht="15" hidden="false" customHeight="false" outlineLevel="0" collapsed="false">
      <c r="C37" s="4" t="s">
        <v>98</v>
      </c>
      <c r="D37" s="17" t="str">
        <f aca="false">COUNTIF(D30:D36,"✔")&amp;" / 7"</f>
        <v>0 / 7</v>
      </c>
    </row>
  </sheetData>
  <conditionalFormatting sqref="D1:D39">
    <cfRule type="cellIs" priority="2" operator="equal" aboveAverage="0" equalAverage="0" bottom="0" percent="0" rank="0" text="" dxfId="0">
      <formula>"✔"</formula>
    </cfRule>
    <cfRule type="cellIs" priority="3" operator="equal" aboveAverage="0" equalAverage="0" bottom="0" percent="0" rank="0" text="" dxfId="1">
      <formula>"✗"</formula>
    </cfRule>
  </conditionalFormatting>
  <dataValidations count="3">
    <dataValidation allowBlank="true" errorStyle="stop" operator="between" showDropDown="false" showErrorMessage="false" showInputMessage="false" sqref="C5:C12" type="list">
      <formula1>"BP,DRE,DFC,RA,Notas Explicativas"</formula1>
      <formula2>0</formula2>
    </dataValidation>
    <dataValidation allowBlank="true" errorStyle="stop" operator="between" showDropDown="false" showErrorMessage="false" showInputMessage="false" sqref="C17:C24" type="list">
      <formula1>"Custo,Despesa de vendas,Despesa administrativa"</formula1>
      <formula2>0</formula2>
    </dataValidation>
    <dataValidation allowBlank="true" errorStyle="stop" operator="between" showDropDown="false" showErrorMessage="false" showInputMessage="false" sqref="C29:C36" type="list">
      <formula1>"FCO,FCI,FCF"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8"/>
    <col collapsed="false" customWidth="true" hidden="false" outlineLevel="0" max="3" min="3" style="0" width="14"/>
    <col collapsed="false" customWidth="true" hidden="false" outlineLevel="0" max="4" min="4" style="0" width="8"/>
  </cols>
  <sheetData>
    <row r="1" customFormat="false" ht="15" hidden="false" customHeight="false" outlineLevel="0" collapsed="false">
      <c r="B1" s="8" t="s">
        <v>114</v>
      </c>
    </row>
    <row r="2" customFormat="false" ht="15" hidden="false" customHeight="false" outlineLevel="0" collapsed="false">
      <c r="B2" s="4" t="s">
        <v>115</v>
      </c>
    </row>
    <row r="4" customFormat="false" ht="15" hidden="false" customHeight="false" outlineLevel="0" collapsed="false">
      <c r="B4" s="9" t="s">
        <v>116</v>
      </c>
      <c r="C4" s="13" t="s">
        <v>117</v>
      </c>
    </row>
    <row r="5" customFormat="false" ht="15" hidden="false" customHeight="false" outlineLevel="0" collapsed="false">
      <c r="B5" s="18" t="s">
        <v>118</v>
      </c>
      <c r="C5" s="19" t="n">
        <v>1000</v>
      </c>
    </row>
    <row r="6" customFormat="false" ht="15" hidden="false" customHeight="false" outlineLevel="0" collapsed="false">
      <c r="B6" s="18" t="s">
        <v>119</v>
      </c>
      <c r="C6" s="19" t="n">
        <v>600</v>
      </c>
    </row>
    <row r="7" customFormat="false" ht="15" hidden="false" customHeight="false" outlineLevel="0" collapsed="false">
      <c r="B7" s="18" t="s">
        <v>120</v>
      </c>
      <c r="C7" s="19" t="n">
        <v>120</v>
      </c>
    </row>
    <row r="8" customFormat="false" ht="15" hidden="false" customHeight="false" outlineLevel="0" collapsed="false">
      <c r="B8" s="18" t="s">
        <v>121</v>
      </c>
      <c r="C8" s="19" t="n">
        <v>80</v>
      </c>
    </row>
    <row r="9" customFormat="false" ht="15" hidden="false" customHeight="false" outlineLevel="0" collapsed="false">
      <c r="B9" s="18" t="s">
        <v>122</v>
      </c>
      <c r="C9" s="19" t="n">
        <v>30</v>
      </c>
    </row>
    <row r="10" customFormat="false" ht="15" hidden="false" customHeight="false" outlineLevel="0" collapsed="false">
      <c r="B10" s="18" t="s">
        <v>123</v>
      </c>
      <c r="C10" s="19" t="n">
        <v>40</v>
      </c>
    </row>
    <row r="11" customFormat="false" ht="15" hidden="false" customHeight="false" outlineLevel="0" collapsed="false">
      <c r="B11" s="18" t="s">
        <v>124</v>
      </c>
      <c r="C11" s="19" t="n">
        <v>10</v>
      </c>
    </row>
    <row r="12" customFormat="false" ht="15" hidden="false" customHeight="false" outlineLevel="0" collapsed="false">
      <c r="B12" s="18" t="s">
        <v>125</v>
      </c>
      <c r="C12" s="20" t="n">
        <v>0.3</v>
      </c>
    </row>
    <row r="13" customFormat="false" ht="15" hidden="false" customHeight="false" outlineLevel="0" collapsed="false">
      <c r="B13" s="18" t="s">
        <v>126</v>
      </c>
      <c r="C13" s="19" t="n">
        <v>50</v>
      </c>
    </row>
    <row r="14" customFormat="false" ht="15" hidden="false" customHeight="false" outlineLevel="0" collapsed="false">
      <c r="B14" s="18" t="s">
        <v>127</v>
      </c>
      <c r="C14" s="19" t="n">
        <v>40</v>
      </c>
    </row>
    <row r="15" customFormat="false" ht="15" hidden="false" customHeight="false" outlineLevel="0" collapsed="false">
      <c r="B15" s="18" t="s">
        <v>128</v>
      </c>
      <c r="C15" s="19" t="n">
        <v>20</v>
      </c>
    </row>
    <row r="16" customFormat="false" ht="15" hidden="false" customHeight="false" outlineLevel="0" collapsed="false">
      <c r="B16" s="18" t="s">
        <v>129</v>
      </c>
      <c r="C16" s="19" t="n">
        <v>100</v>
      </c>
    </row>
    <row r="17" customFormat="false" ht="15" hidden="false" customHeight="false" outlineLevel="0" collapsed="false">
      <c r="B17" s="18" t="s">
        <v>130</v>
      </c>
      <c r="C17" s="19" t="n">
        <v>60</v>
      </c>
    </row>
    <row r="18" customFormat="false" ht="15" hidden="false" customHeight="false" outlineLevel="0" collapsed="false">
      <c r="B18" s="18" t="s">
        <v>131</v>
      </c>
      <c r="C18" s="19" t="n">
        <v>0</v>
      </c>
    </row>
    <row r="19" customFormat="false" ht="15" hidden="false" customHeight="false" outlineLevel="0" collapsed="false">
      <c r="B19" s="18" t="s">
        <v>132</v>
      </c>
      <c r="C19" s="19" t="n">
        <v>30</v>
      </c>
    </row>
    <row r="20" customFormat="false" ht="15" hidden="false" customHeight="false" outlineLevel="0" collapsed="false">
      <c r="B20" s="18" t="s">
        <v>133</v>
      </c>
      <c r="C20" s="19" t="n">
        <v>41</v>
      </c>
    </row>
    <row r="22" customFormat="false" ht="15" hidden="false" customHeight="false" outlineLevel="0" collapsed="false">
      <c r="B22" s="4" t="s">
        <v>134</v>
      </c>
    </row>
    <row r="23" customFormat="false" ht="15" hidden="false" customHeight="false" outlineLevel="0" collapsed="false">
      <c r="B23" s="9" t="s">
        <v>135</v>
      </c>
      <c r="C23" s="13" t="s">
        <v>136</v>
      </c>
      <c r="D23" s="13" t="s">
        <v>88</v>
      </c>
    </row>
    <row r="24" customFormat="false" ht="15" hidden="false" customHeight="false" outlineLevel="0" collapsed="false">
      <c r="B24" s="21" t="s">
        <v>118</v>
      </c>
      <c r="C24" s="22"/>
      <c r="D24" s="15" t="str">
        <f aca="false">IF(C24="","",IF(ABS(C24-Gabarito!$E$3)&lt;0.5,"✔","✗"))</f>
        <v/>
      </c>
    </row>
    <row r="25" customFormat="false" ht="15" hidden="false" customHeight="false" outlineLevel="0" collapsed="false">
      <c r="B25" s="21" t="s">
        <v>137</v>
      </c>
      <c r="C25" s="22"/>
      <c r="D25" s="15" t="str">
        <f aca="false">IF(C25="","",IF(ABS(C25-Gabarito!$E$4)&lt;0.5,"✔","✗"))</f>
        <v/>
      </c>
    </row>
    <row r="26" customFormat="false" ht="15" hidden="false" customHeight="false" outlineLevel="0" collapsed="false">
      <c r="B26" s="21" t="e">
        <f aca="false">lucro bruto</f>
        <v>#VALUE!</v>
      </c>
      <c r="C26" s="22"/>
      <c r="D26" s="15" t="str">
        <f aca="false">IF(C26="","",IF(ABS(C26-Gabarito!$E$5)&lt;0.5,"✔","✗"))</f>
        <v/>
      </c>
    </row>
    <row r="27" customFormat="false" ht="15" hidden="false" customHeight="false" outlineLevel="0" collapsed="false">
      <c r="B27" s="21" t="s">
        <v>138</v>
      </c>
      <c r="C27" s="22"/>
      <c r="D27" s="15" t="str">
        <f aca="false">IF(C27="","",IF(ABS(C27-Gabarito!$E$6)&lt;0.5,"✔","✗"))</f>
        <v/>
      </c>
    </row>
    <row r="28" customFormat="false" ht="15" hidden="false" customHeight="false" outlineLevel="0" collapsed="false">
      <c r="B28" s="21" t="s">
        <v>139</v>
      </c>
      <c r="C28" s="22"/>
      <c r="D28" s="15" t="str">
        <f aca="false">IF(C28="","",IF(ABS(C28-Gabarito!$E$7)&lt;0.5,"✔","✗"))</f>
        <v/>
      </c>
    </row>
    <row r="29" customFormat="false" ht="15" hidden="false" customHeight="false" outlineLevel="0" collapsed="false">
      <c r="B29" s="21" t="e">
        <f aca="false">ebit</f>
        <v>#NAME?</v>
      </c>
      <c r="C29" s="22"/>
      <c r="D29" s="15" t="str">
        <f aca="false">IF(C29="","",IF(ABS(C29-Gabarito!$E$8)&lt;0.5,"✔","✗"))</f>
        <v/>
      </c>
    </row>
    <row r="30" customFormat="false" ht="15" hidden="false" customHeight="false" outlineLevel="0" collapsed="false">
      <c r="B30" s="21" t="s">
        <v>140</v>
      </c>
      <c r="C30" s="22"/>
      <c r="D30" s="15" t="str">
        <f aca="false">IF(C30="","",IF(ABS(C30-Gabarito!$E$9)&lt;0.5,"✔","✗"))</f>
        <v/>
      </c>
    </row>
    <row r="31" customFormat="false" ht="15" hidden="false" customHeight="false" outlineLevel="0" collapsed="false">
      <c r="B31" s="21" t="e">
        <f aca="false">lair</f>
        <v>#NAME?</v>
      </c>
      <c r="C31" s="22"/>
      <c r="D31" s="15" t="str">
        <f aca="false">IF(C31="","",IF(ABS(C31-Gabarito!$E$10)&lt;0.5,"✔","✗"))</f>
        <v/>
      </c>
    </row>
    <row r="32" customFormat="false" ht="15" hidden="false" customHeight="false" outlineLevel="0" collapsed="false">
      <c r="B32" s="21" t="s">
        <v>141</v>
      </c>
      <c r="C32" s="22"/>
      <c r="D32" s="15" t="str">
        <f aca="false">IF(C32="","",IF(ABS(C32-Gabarito!$E$11)&lt;0.5,"✔","✗"))</f>
        <v/>
      </c>
    </row>
    <row r="33" customFormat="false" ht="15" hidden="false" customHeight="false" outlineLevel="0" collapsed="false">
      <c r="B33" s="21" t="e">
        <f aca="false">lucro líquido</f>
        <v>#VALUE!</v>
      </c>
      <c r="C33" s="22"/>
      <c r="D33" s="15" t="str">
        <f aca="false">IF(C33="","",IF(ABS(C33-Gabarito!$E$12)&lt;0.5,"✔","✗"))</f>
        <v/>
      </c>
    </row>
    <row r="35" customFormat="false" ht="15" hidden="false" customHeight="false" outlineLevel="0" collapsed="false">
      <c r="B35" s="4" t="s">
        <v>142</v>
      </c>
    </row>
    <row r="36" customFormat="false" ht="15" hidden="false" customHeight="false" outlineLevel="0" collapsed="false">
      <c r="B36" s="9" t="s">
        <v>135</v>
      </c>
      <c r="C36" s="13" t="s">
        <v>136</v>
      </c>
      <c r="D36" s="13" t="s">
        <v>88</v>
      </c>
    </row>
    <row r="37" customFormat="false" ht="15" hidden="false" customHeight="false" outlineLevel="0" collapsed="false">
      <c r="B37" s="21" t="s">
        <v>143</v>
      </c>
      <c r="C37" s="23"/>
      <c r="D37" s="15" t="str">
        <f aca="false">IF(C37="","",IF(ABS(C37-Gabarito!$E$13)&lt;0.005,"✔","✗"))</f>
        <v/>
      </c>
    </row>
    <row r="39" customFormat="false" ht="15" hidden="false" customHeight="false" outlineLevel="0" collapsed="false">
      <c r="B39" s="4" t="s">
        <v>144</v>
      </c>
    </row>
    <row r="40" customFormat="false" ht="15" hidden="false" customHeight="false" outlineLevel="0" collapsed="false">
      <c r="B40" s="9" t="s">
        <v>135</v>
      </c>
      <c r="C40" s="13" t="s">
        <v>136</v>
      </c>
      <c r="D40" s="13" t="s">
        <v>88</v>
      </c>
    </row>
    <row r="41" customFormat="false" ht="15" hidden="false" customHeight="false" outlineLevel="0" collapsed="false">
      <c r="B41" s="21" t="s">
        <v>145</v>
      </c>
      <c r="C41" s="22"/>
      <c r="D41" s="15" t="str">
        <f aca="false">IF(C41="","",IF(ABS(C41-Gabarito!$E$14)&lt;0.5,"✔","✗"))</f>
        <v/>
      </c>
    </row>
    <row r="42" customFormat="false" ht="15" hidden="false" customHeight="false" outlineLevel="0" collapsed="false">
      <c r="B42" s="21" t="s">
        <v>146</v>
      </c>
      <c r="C42" s="22"/>
      <c r="D42" s="15" t="str">
        <f aca="false">IF(C42="","",IF(ABS(C42-Gabarito!$E$15)&lt;0.5,"✔","✗"))</f>
        <v/>
      </c>
    </row>
    <row r="43" customFormat="false" ht="15" hidden="false" customHeight="false" outlineLevel="0" collapsed="false">
      <c r="B43" s="21" t="s">
        <v>147</v>
      </c>
      <c r="C43" s="22"/>
      <c r="D43" s="15" t="str">
        <f aca="false">IF(C43="","",IF(ABS(C43-Gabarito!$E$16)&lt;0.5,"✔","✗"))</f>
        <v/>
      </c>
    </row>
    <row r="44" customFormat="false" ht="15" hidden="false" customHeight="false" outlineLevel="0" collapsed="false">
      <c r="B44" s="21" t="s">
        <v>148</v>
      </c>
      <c r="C44" s="22"/>
      <c r="D44" s="15" t="str">
        <f aca="false">IF(C44="","",IF(ABS(C44-Gabarito!$E$17)&lt;0.5,"✔","✗"))</f>
        <v/>
      </c>
    </row>
    <row r="45" customFormat="false" ht="15" hidden="false" customHeight="false" outlineLevel="0" collapsed="false">
      <c r="B45" s="21" t="s">
        <v>149</v>
      </c>
      <c r="C45" s="22"/>
      <c r="D45" s="15" t="str">
        <f aca="false">IF(C45="","",IF(ABS(C45-Gabarito!$E$18)&lt;0.5,"✔","✗"))</f>
        <v/>
      </c>
    </row>
    <row r="46" customFormat="false" ht="15" hidden="false" customHeight="false" outlineLevel="0" collapsed="false">
      <c r="B46" s="21" t="e">
        <f aca="false">fco</f>
        <v>#NAME?</v>
      </c>
      <c r="C46" s="22"/>
      <c r="D46" s="15" t="str">
        <f aca="false">IF(C46="","",IF(ABS(C46-Gabarito!$E$19)&lt;0.5,"✔","✗"))</f>
        <v/>
      </c>
    </row>
    <row r="48" customFormat="false" ht="15" hidden="false" customHeight="false" outlineLevel="0" collapsed="false">
      <c r="B48" s="4" t="s">
        <v>150</v>
      </c>
    </row>
    <row r="49" customFormat="false" ht="15" hidden="false" customHeight="false" outlineLevel="0" collapsed="false">
      <c r="B49" s="9" t="s">
        <v>135</v>
      </c>
      <c r="C49" s="13" t="s">
        <v>136</v>
      </c>
      <c r="D49" s="13" t="s">
        <v>88</v>
      </c>
    </row>
    <row r="50" customFormat="false" ht="15" hidden="false" customHeight="false" outlineLevel="0" collapsed="false">
      <c r="B50" s="21" t="e">
        <f aca="false">fco</f>
        <v>#NAME?</v>
      </c>
      <c r="C50" s="22"/>
      <c r="D50" s="15" t="str">
        <f aca="false">IF(C50="","",IF(ABS(C50-Gabarito!$E$20)&lt;0.5,"✔","✗"))</f>
        <v/>
      </c>
    </row>
    <row r="51" customFormat="false" ht="15" hidden="false" customHeight="false" outlineLevel="0" collapsed="false">
      <c r="B51" s="21" t="s">
        <v>151</v>
      </c>
      <c r="C51" s="22"/>
      <c r="D51" s="15" t="str">
        <f aca="false">IF(C51="","",IF(ABS(C51-Gabarito!$E$21)&lt;0.5,"✔","✗"))</f>
        <v/>
      </c>
    </row>
    <row r="52" customFormat="false" ht="15" hidden="false" customHeight="false" outlineLevel="0" collapsed="false">
      <c r="B52" s="21" t="s">
        <v>152</v>
      </c>
      <c r="C52" s="22"/>
      <c r="D52" s="15" t="str">
        <f aca="false">IF(C52="","",IF(ABS(C52-Gabarito!$E$22)&lt;0.5,"✔","✗"))</f>
        <v/>
      </c>
    </row>
    <row r="53" customFormat="false" ht="15" hidden="false" customHeight="false" outlineLevel="0" collapsed="false">
      <c r="B53" s="21" t="e">
        <f aca="false">variação do caixa</f>
        <v>#VALUE!</v>
      </c>
      <c r="C53" s="22"/>
      <c r="D53" s="15" t="str">
        <f aca="false">IF(C53="","",IF(ABS(C53-Gabarito!$E$23)&lt;0.5,"✔","✗"))</f>
        <v/>
      </c>
    </row>
    <row r="54" customFormat="false" ht="15" hidden="false" customHeight="false" outlineLevel="0" collapsed="false">
      <c r="B54" s="21" t="s">
        <v>153</v>
      </c>
      <c r="C54" s="22"/>
      <c r="D54" s="15" t="str">
        <f aca="false">IF(C54="","",IF(ABS(C54-Gabarito!$E$24)&lt;0.5,"✔","✗"))</f>
        <v/>
      </c>
    </row>
    <row r="56" customFormat="false" ht="15" hidden="false" customHeight="false" outlineLevel="0" collapsed="false">
      <c r="B56" s="4" t="s">
        <v>154</v>
      </c>
    </row>
    <row r="57" customFormat="false" ht="15" hidden="false" customHeight="false" outlineLevel="0" collapsed="false">
      <c r="B57" s="9" t="s">
        <v>135</v>
      </c>
      <c r="C57" s="13" t="s">
        <v>136</v>
      </c>
      <c r="D57" s="13" t="s">
        <v>88</v>
      </c>
    </row>
    <row r="58" customFormat="false" ht="15" hidden="false" customHeight="false" outlineLevel="0" collapsed="false">
      <c r="B58" s="21" t="s">
        <v>155</v>
      </c>
      <c r="C58" s="22"/>
      <c r="D58" s="15" t="str">
        <f aca="false">IF(C58="","",IF(ABS(C58-Gabarito!$E$25)&lt;0.5,"✔","✗"))</f>
        <v/>
      </c>
    </row>
    <row r="59" customFormat="false" ht="15" hidden="false" customHeight="false" outlineLevel="0" collapsed="false">
      <c r="B59" s="21" t="s">
        <v>156</v>
      </c>
      <c r="C59" s="22"/>
      <c r="D59" s="15" t="str">
        <f aca="false">IF(C59="","",IF(ABS(C59-Gabarito!$E$26)&lt;0.5,"✔","✗"))</f>
        <v/>
      </c>
    </row>
    <row r="60" customFormat="false" ht="15" hidden="false" customHeight="false" outlineLevel="0" collapsed="false">
      <c r="B60" s="21" t="s">
        <v>157</v>
      </c>
      <c r="C60" s="22"/>
      <c r="D60" s="15" t="str">
        <f aca="false">IF(C60="","",IF(ABS(C60-Gabarito!$E$27)&lt;0.5,"✔","✗"))</f>
        <v/>
      </c>
    </row>
    <row r="61" customFormat="false" ht="15" hidden="false" customHeight="false" outlineLevel="0" collapsed="false">
      <c r="B61" s="21" t="s">
        <v>158</v>
      </c>
      <c r="C61" s="22"/>
      <c r="D61" s="15" t="str">
        <f aca="false">IF(C61="","",IF(ABS(C61-Gabarito!$E$28)&lt;0.5,"✔","✗"))</f>
        <v/>
      </c>
    </row>
    <row r="62" customFormat="false" ht="15" hidden="false" customHeight="false" outlineLevel="0" collapsed="false">
      <c r="B62" s="21" t="e">
        <f aca="false">δ ativo total</f>
        <v>#VALUE!</v>
      </c>
      <c r="C62" s="22"/>
      <c r="D62" s="15" t="str">
        <f aca="false">IF(C62="","",IF(ABS(C62-Gabarito!$E$29)&lt;0.5,"✔","✗"))</f>
        <v/>
      </c>
    </row>
    <row r="63" customFormat="false" ht="15" hidden="false" customHeight="false" outlineLevel="0" collapsed="false">
      <c r="B63" s="21" t="s">
        <v>159</v>
      </c>
      <c r="C63" s="22"/>
      <c r="D63" s="15" t="str">
        <f aca="false">IF(C63="","",IF(ABS(C63-Gabarito!$E$30)&lt;0.5,"✔","✗"))</f>
        <v/>
      </c>
    </row>
    <row r="64" customFormat="false" ht="15" hidden="false" customHeight="false" outlineLevel="0" collapsed="false">
      <c r="B64" s="21" t="s">
        <v>160</v>
      </c>
      <c r="C64" s="22"/>
      <c r="D64" s="15" t="str">
        <f aca="false">IF(C64="","",IF(ABS(C64-Gabarito!$E$31)&lt;0.5,"✔","✗"))</f>
        <v/>
      </c>
    </row>
    <row r="65" customFormat="false" ht="15" hidden="false" customHeight="false" outlineLevel="0" collapsed="false">
      <c r="B65" s="21" t="s">
        <v>161</v>
      </c>
      <c r="C65" s="22"/>
      <c r="D65" s="15" t="str">
        <f aca="false">IF(C65="","",IF(ABS(C65-Gabarito!$E$32)&lt;0.5,"✔","✗"))</f>
        <v/>
      </c>
    </row>
    <row r="66" customFormat="false" ht="15" hidden="false" customHeight="false" outlineLevel="0" collapsed="false">
      <c r="B66" s="21" t="e">
        <f aca="false">δ passivo + pl</f>
        <v>#VALUE!</v>
      </c>
      <c r="C66" s="22"/>
      <c r="D66" s="15" t="str">
        <f aca="false">IF(C66="","",IF(ABS(C66-Gabarito!$E$33)&lt;0.5,"✔","✗"))</f>
        <v/>
      </c>
    </row>
    <row r="68" customFormat="false" ht="26.85" hidden="false" customHeight="false" outlineLevel="0" collapsed="false">
      <c r="B68" s="2" t="s">
        <v>162</v>
      </c>
    </row>
    <row r="69" customFormat="false" ht="54.75" hidden="false" customHeight="true" outlineLevel="0" collapsed="false">
      <c r="B69" s="24"/>
      <c r="C69" s="24"/>
      <c r="D69" s="24"/>
    </row>
  </sheetData>
  <mergeCells count="1">
    <mergeCell ref="B69:D69"/>
  </mergeCells>
  <conditionalFormatting sqref="D1:D68">
    <cfRule type="cellIs" priority="2" operator="equal" aboveAverage="0" equalAverage="0" bottom="0" percent="0" rank="0" text="" dxfId="0">
      <formula>"✔"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8"/>
    <col collapsed="false" customWidth="true" hidden="false" outlineLevel="0" max="3" min="3" style="0" width="14"/>
    <col collapsed="false" customWidth="true" hidden="false" outlineLevel="0" max="4" min="4" style="0" width="8"/>
  </cols>
  <sheetData>
    <row r="1" customFormat="false" ht="15" hidden="false" customHeight="false" outlineLevel="0" collapsed="false">
      <c r="B1" s="8" t="s">
        <v>163</v>
      </c>
    </row>
    <row r="2" customFormat="false" ht="15" hidden="false" customHeight="false" outlineLevel="0" collapsed="false">
      <c r="B2" s="4" t="s">
        <v>115</v>
      </c>
    </row>
    <row r="4" customFormat="false" ht="15" hidden="false" customHeight="false" outlineLevel="0" collapsed="false">
      <c r="B4" s="9" t="s">
        <v>116</v>
      </c>
      <c r="C4" s="13" t="s">
        <v>117</v>
      </c>
    </row>
    <row r="5" customFormat="false" ht="15" hidden="false" customHeight="false" outlineLevel="0" collapsed="false">
      <c r="B5" s="18" t="s">
        <v>118</v>
      </c>
      <c r="C5" s="19" t="n">
        <v>1200</v>
      </c>
    </row>
    <row r="6" customFormat="false" ht="15" hidden="false" customHeight="false" outlineLevel="0" collapsed="false">
      <c r="B6" s="18" t="s">
        <v>119</v>
      </c>
      <c r="C6" s="19" t="n">
        <v>660</v>
      </c>
    </row>
    <row r="7" customFormat="false" ht="15" hidden="false" customHeight="false" outlineLevel="0" collapsed="false">
      <c r="B7" s="18" t="s">
        <v>120</v>
      </c>
      <c r="C7" s="19" t="n">
        <v>150</v>
      </c>
    </row>
    <row r="8" customFormat="false" ht="15" hidden="false" customHeight="false" outlineLevel="0" collapsed="false">
      <c r="B8" s="18" t="s">
        <v>121</v>
      </c>
      <c r="C8" s="19" t="n">
        <v>90</v>
      </c>
    </row>
    <row r="9" customFormat="false" ht="15" hidden="false" customHeight="false" outlineLevel="0" collapsed="false">
      <c r="B9" s="18" t="s">
        <v>122</v>
      </c>
      <c r="C9" s="19" t="n">
        <v>40</v>
      </c>
    </row>
    <row r="10" customFormat="false" ht="15" hidden="false" customHeight="false" outlineLevel="0" collapsed="false">
      <c r="B10" s="18" t="s">
        <v>123</v>
      </c>
      <c r="C10" s="19" t="n">
        <v>60</v>
      </c>
    </row>
    <row r="11" customFormat="false" ht="15" hidden="false" customHeight="false" outlineLevel="0" collapsed="false">
      <c r="B11" s="18" t="s">
        <v>124</v>
      </c>
      <c r="C11" s="19" t="n">
        <v>20</v>
      </c>
    </row>
    <row r="12" customFormat="false" ht="15" hidden="false" customHeight="false" outlineLevel="0" collapsed="false">
      <c r="B12" s="18" t="s">
        <v>125</v>
      </c>
      <c r="C12" s="20" t="n">
        <v>0.3</v>
      </c>
    </row>
    <row r="13" customFormat="false" ht="15" hidden="false" customHeight="false" outlineLevel="0" collapsed="false">
      <c r="B13" s="18" t="s">
        <v>126</v>
      </c>
      <c r="C13" s="19" t="n">
        <v>80</v>
      </c>
    </row>
    <row r="14" customFormat="false" ht="15" hidden="false" customHeight="false" outlineLevel="0" collapsed="false">
      <c r="B14" s="18" t="s">
        <v>127</v>
      </c>
      <c r="C14" s="19" t="n">
        <v>30</v>
      </c>
    </row>
    <row r="15" customFormat="false" ht="15" hidden="false" customHeight="false" outlineLevel="0" collapsed="false">
      <c r="B15" s="18" t="s">
        <v>128</v>
      </c>
      <c r="C15" s="19" t="n">
        <v>50</v>
      </c>
    </row>
    <row r="16" customFormat="false" ht="15" hidden="false" customHeight="false" outlineLevel="0" collapsed="false">
      <c r="B16" s="18" t="s">
        <v>129</v>
      </c>
      <c r="C16" s="19" t="n">
        <v>120</v>
      </c>
    </row>
    <row r="17" customFormat="false" ht="15" hidden="false" customHeight="false" outlineLevel="0" collapsed="false">
      <c r="B17" s="18" t="s">
        <v>130</v>
      </c>
      <c r="C17" s="19" t="n">
        <v>0</v>
      </c>
    </row>
    <row r="18" customFormat="false" ht="15" hidden="false" customHeight="false" outlineLevel="0" collapsed="false">
      <c r="B18" s="18" t="s">
        <v>131</v>
      </c>
      <c r="C18" s="19" t="n">
        <v>40</v>
      </c>
    </row>
    <row r="19" customFormat="false" ht="15" hidden="false" customHeight="false" outlineLevel="0" collapsed="false">
      <c r="B19" s="18" t="s">
        <v>132</v>
      </c>
      <c r="C19" s="19" t="n">
        <v>50</v>
      </c>
    </row>
    <row r="20" customFormat="false" ht="15" hidden="false" customHeight="false" outlineLevel="0" collapsed="false">
      <c r="B20" s="18" t="s">
        <v>133</v>
      </c>
      <c r="C20" s="19" t="n">
        <v>100</v>
      </c>
    </row>
    <row r="22" customFormat="false" ht="15" hidden="false" customHeight="false" outlineLevel="0" collapsed="false">
      <c r="B22" s="4" t="s">
        <v>134</v>
      </c>
    </row>
    <row r="23" customFormat="false" ht="15" hidden="false" customHeight="false" outlineLevel="0" collapsed="false">
      <c r="B23" s="9" t="s">
        <v>135</v>
      </c>
      <c r="C23" s="13" t="s">
        <v>136</v>
      </c>
      <c r="D23" s="13" t="s">
        <v>88</v>
      </c>
    </row>
    <row r="24" customFormat="false" ht="15" hidden="false" customHeight="false" outlineLevel="0" collapsed="false">
      <c r="B24" s="21" t="s">
        <v>118</v>
      </c>
      <c r="C24" s="22"/>
      <c r="D24" s="15" t="str">
        <f aca="false">IF(C24="","",IF(ABS(C24-Gabarito!$F$3)&lt;0.5,"✔","✗"))</f>
        <v/>
      </c>
    </row>
    <row r="25" customFormat="false" ht="15" hidden="false" customHeight="false" outlineLevel="0" collapsed="false">
      <c r="B25" s="21" t="s">
        <v>137</v>
      </c>
      <c r="C25" s="22"/>
      <c r="D25" s="15" t="str">
        <f aca="false">IF(C25="","",IF(ABS(C25-Gabarito!$F$4)&lt;0.5,"✔","✗"))</f>
        <v/>
      </c>
    </row>
    <row r="26" customFormat="false" ht="15" hidden="false" customHeight="false" outlineLevel="0" collapsed="false">
      <c r="B26" s="21" t="e">
        <f aca="false">lucro bruto</f>
        <v>#VALUE!</v>
      </c>
      <c r="C26" s="22"/>
      <c r="D26" s="15" t="str">
        <f aca="false">IF(C26="","",IF(ABS(C26-Gabarito!$F$5)&lt;0.5,"✔","✗"))</f>
        <v/>
      </c>
    </row>
    <row r="27" customFormat="false" ht="15" hidden="false" customHeight="false" outlineLevel="0" collapsed="false">
      <c r="B27" s="21" t="s">
        <v>138</v>
      </c>
      <c r="C27" s="22"/>
      <c r="D27" s="15" t="str">
        <f aca="false">IF(C27="","",IF(ABS(C27-Gabarito!$F$6)&lt;0.5,"✔","✗"))</f>
        <v/>
      </c>
    </row>
    <row r="28" customFormat="false" ht="15" hidden="false" customHeight="false" outlineLevel="0" collapsed="false">
      <c r="B28" s="21" t="s">
        <v>139</v>
      </c>
      <c r="C28" s="22"/>
      <c r="D28" s="15" t="str">
        <f aca="false">IF(C28="","",IF(ABS(C28-Gabarito!$F$7)&lt;0.5,"✔","✗"))</f>
        <v/>
      </c>
    </row>
    <row r="29" customFormat="false" ht="15" hidden="false" customHeight="false" outlineLevel="0" collapsed="false">
      <c r="B29" s="21" t="e">
        <f aca="false">ebit</f>
        <v>#NAME?</v>
      </c>
      <c r="C29" s="22"/>
      <c r="D29" s="15" t="str">
        <f aca="false">IF(C29="","",IF(ABS(C29-Gabarito!$F$8)&lt;0.5,"✔","✗"))</f>
        <v/>
      </c>
    </row>
    <row r="30" customFormat="false" ht="15" hidden="false" customHeight="false" outlineLevel="0" collapsed="false">
      <c r="B30" s="21" t="s">
        <v>140</v>
      </c>
      <c r="C30" s="22"/>
      <c r="D30" s="15" t="str">
        <f aca="false">IF(C30="","",IF(ABS(C30-Gabarito!$F$9)&lt;0.5,"✔","✗"))</f>
        <v/>
      </c>
    </row>
    <row r="31" customFormat="false" ht="15" hidden="false" customHeight="false" outlineLevel="0" collapsed="false">
      <c r="B31" s="21" t="e">
        <f aca="false">lair</f>
        <v>#NAME?</v>
      </c>
      <c r="C31" s="22"/>
      <c r="D31" s="15" t="str">
        <f aca="false">IF(C31="","",IF(ABS(C31-Gabarito!$F$10)&lt;0.5,"✔","✗"))</f>
        <v/>
      </c>
    </row>
    <row r="32" customFormat="false" ht="15" hidden="false" customHeight="false" outlineLevel="0" collapsed="false">
      <c r="B32" s="21" t="s">
        <v>141</v>
      </c>
      <c r="C32" s="22"/>
      <c r="D32" s="15" t="str">
        <f aca="false">IF(C32="","",IF(ABS(C32-Gabarito!$F$11)&lt;0.5,"✔","✗"))</f>
        <v/>
      </c>
    </row>
    <row r="33" customFormat="false" ht="15" hidden="false" customHeight="false" outlineLevel="0" collapsed="false">
      <c r="B33" s="21" t="e">
        <f aca="false">lucro líquido</f>
        <v>#VALUE!</v>
      </c>
      <c r="C33" s="22"/>
      <c r="D33" s="15" t="str">
        <f aca="false">IF(C33="","",IF(ABS(C33-Gabarito!$F$12)&lt;0.5,"✔","✗"))</f>
        <v/>
      </c>
    </row>
    <row r="35" customFormat="false" ht="15" hidden="false" customHeight="false" outlineLevel="0" collapsed="false">
      <c r="B35" s="4" t="s">
        <v>142</v>
      </c>
    </row>
    <row r="36" customFormat="false" ht="15" hidden="false" customHeight="false" outlineLevel="0" collapsed="false">
      <c r="B36" s="9" t="s">
        <v>135</v>
      </c>
      <c r="C36" s="13" t="s">
        <v>136</v>
      </c>
      <c r="D36" s="13" t="s">
        <v>88</v>
      </c>
    </row>
    <row r="37" customFormat="false" ht="15" hidden="false" customHeight="false" outlineLevel="0" collapsed="false">
      <c r="B37" s="21" t="s">
        <v>143</v>
      </c>
      <c r="C37" s="23"/>
      <c r="D37" s="15" t="str">
        <f aca="false">IF(C37="","",IF(ABS(C37-Gabarito!$F$13)&lt;0.005,"✔","✗"))</f>
        <v/>
      </c>
    </row>
    <row r="39" customFormat="false" ht="15" hidden="false" customHeight="false" outlineLevel="0" collapsed="false">
      <c r="B39" s="4" t="s">
        <v>144</v>
      </c>
    </row>
    <row r="40" customFormat="false" ht="15" hidden="false" customHeight="false" outlineLevel="0" collapsed="false">
      <c r="B40" s="9" t="s">
        <v>135</v>
      </c>
      <c r="C40" s="13" t="s">
        <v>136</v>
      </c>
      <c r="D40" s="13" t="s">
        <v>88</v>
      </c>
    </row>
    <row r="41" customFormat="false" ht="15" hidden="false" customHeight="false" outlineLevel="0" collapsed="false">
      <c r="B41" s="21" t="s">
        <v>145</v>
      </c>
      <c r="C41" s="22"/>
      <c r="D41" s="15" t="str">
        <f aca="false">IF(C41="","",IF(ABS(C41-Gabarito!$F$14)&lt;0.5,"✔","✗"))</f>
        <v/>
      </c>
    </row>
    <row r="42" customFormat="false" ht="15" hidden="false" customHeight="false" outlineLevel="0" collapsed="false">
      <c r="B42" s="21" t="s">
        <v>146</v>
      </c>
      <c r="C42" s="22"/>
      <c r="D42" s="15" t="str">
        <f aca="false">IF(C42="","",IF(ABS(C42-Gabarito!$F$15)&lt;0.5,"✔","✗"))</f>
        <v/>
      </c>
    </row>
    <row r="43" customFormat="false" ht="15" hidden="false" customHeight="false" outlineLevel="0" collapsed="false">
      <c r="B43" s="21" t="s">
        <v>147</v>
      </c>
      <c r="C43" s="22"/>
      <c r="D43" s="15" t="str">
        <f aca="false">IF(C43="","",IF(ABS(C43-Gabarito!$F$16)&lt;0.5,"✔","✗"))</f>
        <v/>
      </c>
    </row>
    <row r="44" customFormat="false" ht="15" hidden="false" customHeight="false" outlineLevel="0" collapsed="false">
      <c r="B44" s="21" t="s">
        <v>148</v>
      </c>
      <c r="C44" s="22"/>
      <c r="D44" s="15" t="str">
        <f aca="false">IF(C44="","",IF(ABS(C44-Gabarito!$F$17)&lt;0.5,"✔","✗"))</f>
        <v/>
      </c>
    </row>
    <row r="45" customFormat="false" ht="15" hidden="false" customHeight="false" outlineLevel="0" collapsed="false">
      <c r="B45" s="21" t="s">
        <v>149</v>
      </c>
      <c r="C45" s="22"/>
      <c r="D45" s="15" t="str">
        <f aca="false">IF(C45="","",IF(ABS(C45-Gabarito!$F$18)&lt;0.5,"✔","✗"))</f>
        <v/>
      </c>
    </row>
    <row r="46" customFormat="false" ht="15" hidden="false" customHeight="false" outlineLevel="0" collapsed="false">
      <c r="B46" s="21" t="e">
        <f aca="false">fco</f>
        <v>#NAME?</v>
      </c>
      <c r="C46" s="22"/>
      <c r="D46" s="15" t="str">
        <f aca="false">IF(C46="","",IF(ABS(C46-Gabarito!$F$19)&lt;0.5,"✔","✗"))</f>
        <v/>
      </c>
    </row>
    <row r="48" customFormat="false" ht="15" hidden="false" customHeight="false" outlineLevel="0" collapsed="false">
      <c r="B48" s="4" t="s">
        <v>150</v>
      </c>
    </row>
    <row r="49" customFormat="false" ht="15" hidden="false" customHeight="false" outlineLevel="0" collapsed="false">
      <c r="B49" s="9" t="s">
        <v>135</v>
      </c>
      <c r="C49" s="13" t="s">
        <v>136</v>
      </c>
      <c r="D49" s="13" t="s">
        <v>88</v>
      </c>
    </row>
    <row r="50" customFormat="false" ht="15" hidden="false" customHeight="false" outlineLevel="0" collapsed="false">
      <c r="B50" s="21" t="e">
        <f aca="false">fco</f>
        <v>#NAME?</v>
      </c>
      <c r="C50" s="22"/>
      <c r="D50" s="15" t="str">
        <f aca="false">IF(C50="","",IF(ABS(C50-Gabarito!$F$20)&lt;0.5,"✔","✗"))</f>
        <v/>
      </c>
    </row>
    <row r="51" customFormat="false" ht="15" hidden="false" customHeight="false" outlineLevel="0" collapsed="false">
      <c r="B51" s="21" t="s">
        <v>151</v>
      </c>
      <c r="C51" s="22"/>
      <c r="D51" s="15" t="str">
        <f aca="false">IF(C51="","",IF(ABS(C51-Gabarito!$F$21)&lt;0.5,"✔","✗"))</f>
        <v/>
      </c>
    </row>
    <row r="52" customFormat="false" ht="15" hidden="false" customHeight="false" outlineLevel="0" collapsed="false">
      <c r="B52" s="21" t="s">
        <v>152</v>
      </c>
      <c r="C52" s="22"/>
      <c r="D52" s="15" t="str">
        <f aca="false">IF(C52="","",IF(ABS(C52-Gabarito!$F$22)&lt;0.5,"✔","✗"))</f>
        <v/>
      </c>
    </row>
    <row r="53" customFormat="false" ht="15" hidden="false" customHeight="false" outlineLevel="0" collapsed="false">
      <c r="B53" s="21" t="e">
        <f aca="false">variação do caixa</f>
        <v>#VALUE!</v>
      </c>
      <c r="C53" s="22"/>
      <c r="D53" s="15" t="str">
        <f aca="false">IF(C53="","",IF(ABS(C53-Gabarito!$F$23)&lt;0.5,"✔","✗"))</f>
        <v/>
      </c>
    </row>
    <row r="54" customFormat="false" ht="15" hidden="false" customHeight="false" outlineLevel="0" collapsed="false">
      <c r="B54" s="21" t="s">
        <v>153</v>
      </c>
      <c r="C54" s="22"/>
      <c r="D54" s="15" t="str">
        <f aca="false">IF(C54="","",IF(ABS(C54-Gabarito!$F$24)&lt;0.5,"✔","✗"))</f>
        <v/>
      </c>
    </row>
    <row r="56" customFormat="false" ht="15" hidden="false" customHeight="false" outlineLevel="0" collapsed="false">
      <c r="B56" s="4" t="s">
        <v>154</v>
      </c>
    </row>
    <row r="57" customFormat="false" ht="15" hidden="false" customHeight="false" outlineLevel="0" collapsed="false">
      <c r="B57" s="9" t="s">
        <v>135</v>
      </c>
      <c r="C57" s="13" t="s">
        <v>136</v>
      </c>
      <c r="D57" s="13" t="s">
        <v>88</v>
      </c>
    </row>
    <row r="58" customFormat="false" ht="15" hidden="false" customHeight="false" outlineLevel="0" collapsed="false">
      <c r="B58" s="21" t="s">
        <v>155</v>
      </c>
      <c r="C58" s="22"/>
      <c r="D58" s="15" t="str">
        <f aca="false">IF(C58="","",IF(ABS(C58-Gabarito!$F$25)&lt;0.5,"✔","✗"))</f>
        <v/>
      </c>
    </row>
    <row r="59" customFormat="false" ht="15" hidden="false" customHeight="false" outlineLevel="0" collapsed="false">
      <c r="B59" s="21" t="s">
        <v>156</v>
      </c>
      <c r="C59" s="22"/>
      <c r="D59" s="15" t="str">
        <f aca="false">IF(C59="","",IF(ABS(C59-Gabarito!$F$26)&lt;0.5,"✔","✗"))</f>
        <v/>
      </c>
    </row>
    <row r="60" customFormat="false" ht="15" hidden="false" customHeight="false" outlineLevel="0" collapsed="false">
      <c r="B60" s="21" t="s">
        <v>157</v>
      </c>
      <c r="C60" s="22"/>
      <c r="D60" s="15" t="str">
        <f aca="false">IF(C60="","",IF(ABS(C60-Gabarito!$F$27)&lt;0.5,"✔","✗"))</f>
        <v/>
      </c>
    </row>
    <row r="61" customFormat="false" ht="15" hidden="false" customHeight="false" outlineLevel="0" collapsed="false">
      <c r="B61" s="21" t="s">
        <v>158</v>
      </c>
      <c r="C61" s="22"/>
      <c r="D61" s="15" t="str">
        <f aca="false">IF(C61="","",IF(ABS(C61-Gabarito!$F$28)&lt;0.5,"✔","✗"))</f>
        <v/>
      </c>
    </row>
    <row r="62" customFormat="false" ht="15" hidden="false" customHeight="false" outlineLevel="0" collapsed="false">
      <c r="B62" s="21" t="e">
        <f aca="false">δ ativo total</f>
        <v>#VALUE!</v>
      </c>
      <c r="C62" s="22"/>
      <c r="D62" s="15" t="str">
        <f aca="false">IF(C62="","",IF(ABS(C62-Gabarito!$F$29)&lt;0.5,"✔","✗"))</f>
        <v/>
      </c>
    </row>
    <row r="63" customFormat="false" ht="15" hidden="false" customHeight="false" outlineLevel="0" collapsed="false">
      <c r="B63" s="21" t="s">
        <v>159</v>
      </c>
      <c r="C63" s="22"/>
      <c r="D63" s="15" t="str">
        <f aca="false">IF(C63="","",IF(ABS(C63-Gabarito!$F$30)&lt;0.5,"✔","✗"))</f>
        <v/>
      </c>
    </row>
    <row r="64" customFormat="false" ht="15" hidden="false" customHeight="false" outlineLevel="0" collapsed="false">
      <c r="B64" s="21" t="s">
        <v>160</v>
      </c>
      <c r="C64" s="22"/>
      <c r="D64" s="15" t="str">
        <f aca="false">IF(C64="","",IF(ABS(C64-Gabarito!$F$31)&lt;0.5,"✔","✗"))</f>
        <v/>
      </c>
    </row>
    <row r="65" customFormat="false" ht="15" hidden="false" customHeight="false" outlineLevel="0" collapsed="false">
      <c r="B65" s="21" t="s">
        <v>161</v>
      </c>
      <c r="C65" s="22"/>
      <c r="D65" s="15" t="str">
        <f aca="false">IF(C65="","",IF(ABS(C65-Gabarito!$F$32)&lt;0.5,"✔","✗"))</f>
        <v/>
      </c>
    </row>
    <row r="66" customFormat="false" ht="15" hidden="false" customHeight="false" outlineLevel="0" collapsed="false">
      <c r="B66" s="21" t="e">
        <f aca="false">δ passivo + pl</f>
        <v>#VALUE!</v>
      </c>
      <c r="C66" s="22"/>
      <c r="D66" s="15" t="str">
        <f aca="false">IF(C66="","",IF(ABS(C66-Gabarito!$F$33)&lt;0.5,"✔","✗"))</f>
        <v/>
      </c>
    </row>
    <row r="68" customFormat="false" ht="26.85" hidden="false" customHeight="false" outlineLevel="0" collapsed="false">
      <c r="B68" s="2" t="s">
        <v>164</v>
      </c>
    </row>
    <row r="69" customFormat="false" ht="54.75" hidden="false" customHeight="true" outlineLevel="0" collapsed="false">
      <c r="B69" s="24"/>
      <c r="C69" s="24"/>
      <c r="D69" s="24"/>
    </row>
  </sheetData>
  <mergeCells count="1">
    <mergeCell ref="B69:D69"/>
  </mergeCells>
  <conditionalFormatting sqref="D1:D68">
    <cfRule type="cellIs" priority="2" operator="equal" aboveAverage="0" equalAverage="0" bottom="0" percent="0" rank="0" text="" dxfId="0">
      <formula>"✔"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70"/>
  </cols>
  <sheetData>
    <row r="1" customFormat="false" ht="15" hidden="false" customHeight="false" outlineLevel="0" collapsed="false">
      <c r="B1" s="8" t="s">
        <v>165</v>
      </c>
    </row>
    <row r="3" customFormat="false" ht="15" hidden="false" customHeight="false" outlineLevel="0" collapsed="false">
      <c r="B3" s="9" t="s">
        <v>74</v>
      </c>
      <c r="C3" s="9" t="s">
        <v>75</v>
      </c>
    </row>
    <row r="4" customFormat="false" ht="60" hidden="false" customHeight="true" outlineLevel="0" collapsed="false">
      <c r="A4" s="10" t="n">
        <v>1</v>
      </c>
      <c r="B4" s="11" t="s">
        <v>166</v>
      </c>
      <c r="C4" s="12"/>
    </row>
    <row r="5" customFormat="false" ht="60" hidden="false" customHeight="true" outlineLevel="0" collapsed="false">
      <c r="A5" s="10" t="n">
        <v>2</v>
      </c>
      <c r="B5" s="11" t="s">
        <v>167</v>
      </c>
      <c r="C5" s="12"/>
    </row>
    <row r="6" customFormat="false" ht="60" hidden="false" customHeight="true" outlineLevel="0" collapsed="false">
      <c r="A6" s="10" t="n">
        <v>3</v>
      </c>
      <c r="B6" s="11" t="s">
        <v>168</v>
      </c>
      <c r="C6" s="12"/>
    </row>
    <row r="7" customFormat="false" ht="60" hidden="false" customHeight="true" outlineLevel="0" collapsed="false">
      <c r="A7" s="10" t="n">
        <v>4</v>
      </c>
      <c r="B7" s="11" t="s">
        <v>169</v>
      </c>
      <c r="C7" s="12"/>
    </row>
    <row r="8" customFormat="false" ht="60" hidden="false" customHeight="true" outlineLevel="0" collapsed="false">
      <c r="A8" s="10" t="n">
        <v>5</v>
      </c>
      <c r="B8" s="11" t="s">
        <v>170</v>
      </c>
      <c r="C8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2026-08-10T12:38:22Z</dcterms:created>
  <dc:creator>openpyxl</dc:creator>
  <dc:description/>
  <dc:language>pt-BR</dc:language>
  <cp:lastModifiedBy/>
  <dcterms:modified xsi:type="dcterms:W3CDTF">2026-08-10T12:38:22Z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