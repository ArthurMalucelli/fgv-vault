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ilene.santos\Downloads\"/>
    </mc:Choice>
  </mc:AlternateContent>
  <xr:revisionPtr revIDLastSave="0" documentId="13_ncr:1_{742715E5-BB67-4413-B691-C2FF19009C88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Ex Slides Plan" sheetId="7" r:id="rId1"/>
    <sheet name="Ex Slides Resp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9" i="7" l="1"/>
  <c r="J11" i="7"/>
  <c r="J20" i="6"/>
  <c r="K19" i="6" s="1"/>
  <c r="J12" i="6"/>
  <c r="J35" i="7"/>
  <c r="J37" i="7"/>
  <c r="J40" i="7"/>
  <c r="J33" i="6"/>
  <c r="J31" i="7"/>
  <c r="J34" i="7"/>
  <c r="E29" i="6"/>
  <c r="E19" i="6" s="1"/>
  <c r="E20" i="6" s="1"/>
  <c r="E22" i="6" s="1"/>
  <c r="F29" i="6"/>
  <c r="F19" i="6" s="1"/>
  <c r="F20" i="6" s="1"/>
  <c r="G29" i="6"/>
  <c r="G19" i="6" s="1"/>
  <c r="G20" i="6" s="1"/>
  <c r="H29" i="6"/>
  <c r="H19" i="6" s="1"/>
  <c r="H20" i="6" s="1"/>
  <c r="I29" i="6"/>
  <c r="I19" i="6" s="1"/>
  <c r="I20" i="6" s="1"/>
  <c r="I22" i="6" s="1"/>
  <c r="D29" i="6"/>
  <c r="D19" i="6"/>
  <c r="D20" i="6" s="1"/>
  <c r="J36" i="6"/>
  <c r="E2" i="7"/>
  <c r="F2" i="7"/>
  <c r="G2" i="7"/>
  <c r="H2" i="7"/>
  <c r="I2" i="7"/>
  <c r="J3" i="7"/>
  <c r="J4" i="7"/>
  <c r="J5" i="7"/>
  <c r="J6" i="7"/>
  <c r="J7" i="7"/>
  <c r="J8" i="7"/>
  <c r="J9" i="7"/>
  <c r="J10" i="7"/>
  <c r="C11" i="7"/>
  <c r="D11" i="7"/>
  <c r="E11" i="7"/>
  <c r="F11" i="7"/>
  <c r="G11" i="7"/>
  <c r="G21" i="7" s="1"/>
  <c r="H11" i="7"/>
  <c r="H21" i="7"/>
  <c r="I11" i="7"/>
  <c r="J12" i="7"/>
  <c r="J13" i="7"/>
  <c r="J14" i="7"/>
  <c r="J15" i="7"/>
  <c r="J16" i="7"/>
  <c r="J17" i="7"/>
  <c r="J18" i="7"/>
  <c r="C19" i="7"/>
  <c r="D19" i="7"/>
  <c r="D21" i="7"/>
  <c r="E19" i="7"/>
  <c r="E21" i="7"/>
  <c r="F19" i="7"/>
  <c r="F21" i="7" s="1"/>
  <c r="G19" i="7"/>
  <c r="H19" i="7"/>
  <c r="I19" i="7"/>
  <c r="I21" i="7" s="1"/>
  <c r="J24" i="7"/>
  <c r="J25" i="7"/>
  <c r="J26" i="7"/>
  <c r="J27" i="7"/>
  <c r="J28" i="7" s="1"/>
  <c r="J32" i="7"/>
  <c r="J33" i="7"/>
  <c r="J36" i="7"/>
  <c r="J39" i="7"/>
  <c r="J38" i="7" s="1"/>
  <c r="F35" i="6"/>
  <c r="J35" i="6" s="1"/>
  <c r="H35" i="6"/>
  <c r="G34" i="6"/>
  <c r="J34" i="6"/>
  <c r="E38" i="6"/>
  <c r="J38" i="6"/>
  <c r="J37" i="6"/>
  <c r="D41" i="6"/>
  <c r="J41" i="6"/>
  <c r="J40" i="6" s="1"/>
  <c r="J26" i="6"/>
  <c r="J25" i="6"/>
  <c r="J27" i="6" s="1"/>
  <c r="K27" i="6" s="1"/>
  <c r="J28" i="6"/>
  <c r="C12" i="6"/>
  <c r="D12" i="6"/>
  <c r="E12" i="6"/>
  <c r="F12" i="6"/>
  <c r="G12" i="6"/>
  <c r="H12" i="6"/>
  <c r="I12" i="6"/>
  <c r="C20" i="6"/>
  <c r="C22" i="6"/>
  <c r="J5" i="6"/>
  <c r="J6" i="6"/>
  <c r="J7" i="6"/>
  <c r="J8" i="6"/>
  <c r="J9" i="6"/>
  <c r="J10" i="6"/>
  <c r="J11" i="6"/>
  <c r="J13" i="6"/>
  <c r="J14" i="6"/>
  <c r="J15" i="6"/>
  <c r="J16" i="6"/>
  <c r="J17" i="6"/>
  <c r="J18" i="6"/>
  <c r="J4" i="6"/>
  <c r="E3" i="6"/>
  <c r="F3" i="6"/>
  <c r="G3" i="6" s="1"/>
  <c r="H3" i="6" s="1"/>
  <c r="I3" i="6" s="1"/>
  <c r="C21" i="7"/>
  <c r="J21" i="7" l="1"/>
  <c r="J41" i="7"/>
  <c r="J44" i="7" s="1"/>
  <c r="J29" i="6"/>
  <c r="H22" i="6"/>
  <c r="G22" i="6"/>
  <c r="F22" i="6"/>
  <c r="J43" i="6"/>
  <c r="J46" i="6" s="1"/>
  <c r="J22" i="6"/>
  <c r="K29" i="6"/>
  <c r="D22" i="6"/>
  <c r="J19" i="6"/>
</calcChain>
</file>

<file path=xl/sharedStrings.xml><?xml version="1.0" encoding="utf-8"?>
<sst xmlns="http://schemas.openxmlformats.org/spreadsheetml/2006/main" count="75" uniqueCount="55">
  <si>
    <t>Contas do Balanço Patrimonial</t>
  </si>
  <si>
    <t>Transações, por Número e Descrição</t>
  </si>
  <si>
    <t>Saldo Inicial</t>
  </si>
  <si>
    <t>Saldo Final</t>
  </si>
  <si>
    <t>ATIVO</t>
  </si>
  <si>
    <t>Ativo Circulante</t>
  </si>
  <si>
    <t>Ativo Não Circulante</t>
  </si>
  <si>
    <t xml:space="preserve">  Total do Ativo</t>
  </si>
  <si>
    <t xml:space="preserve">PASSIVO E PATRIM. LÍQUIDO </t>
  </si>
  <si>
    <t>Passivo Circulante:</t>
  </si>
  <si>
    <t>Patrimônio Líquido:</t>
  </si>
  <si>
    <t>Total Passivo e Patrim. Líquido</t>
  </si>
  <si>
    <t>Diferença, se houver</t>
  </si>
  <si>
    <t xml:space="preserve"> Demonstração do Resultado</t>
  </si>
  <si>
    <t>Receita de Vendas</t>
  </si>
  <si>
    <t>(-) Custos das Mercadorias Vendidas</t>
  </si>
  <si>
    <t xml:space="preserve">     (=) Lucro Bruto</t>
  </si>
  <si>
    <t>(-) Despesas Operacionais</t>
  </si>
  <si>
    <t xml:space="preserve">     (=) Lucro EBIT e Lucro Líquido</t>
  </si>
  <si>
    <t>FLUXO DE CAIXA</t>
  </si>
  <si>
    <t>OPERAÇÕES</t>
  </si>
  <si>
    <t>INVESTIMENTOS</t>
  </si>
  <si>
    <t>FINANCIAMENTOS</t>
  </si>
  <si>
    <t>VARIAÇÃO NO CAIXA</t>
  </si>
  <si>
    <t xml:space="preserve">    Saldo inicial</t>
  </si>
  <si>
    <t xml:space="preserve">    Saldo final</t>
  </si>
  <si>
    <r>
      <t xml:space="preserve">Balanço: Saldo no </t>
    </r>
    <r>
      <rPr>
        <b/>
        <u/>
        <sz val="10"/>
        <rFont val="Arial Narrow"/>
        <family val="2"/>
      </rPr>
      <t>Início</t>
    </r>
    <r>
      <rPr>
        <b/>
        <sz val="10"/>
        <rFont val="Arial Narrow"/>
        <family val="2"/>
      </rPr>
      <t xml:space="preserve"> do Período</t>
    </r>
  </si>
  <si>
    <t>Formação do capital de $100.000</t>
  </si>
  <si>
    <t>Aquisição de imóveis a vista por $80.000</t>
  </si>
  <si>
    <t>Aquisição de Mercadorias por $20.000, 50% a vista</t>
  </si>
  <si>
    <t>Venda de mercadoria a vista por $15.000 que custara $10.000</t>
  </si>
  <si>
    <t>Pagamento de metade do que devia</t>
  </si>
  <si>
    <t>Pagamento de conta de luz $2.000</t>
  </si>
  <si>
    <r>
      <t xml:space="preserve">Balanço: Saldo no </t>
    </r>
    <r>
      <rPr>
        <b/>
        <u/>
        <sz val="10"/>
        <rFont val="Arial Narrow"/>
        <family val="2"/>
      </rPr>
      <t>Final</t>
    </r>
    <r>
      <rPr>
        <b/>
        <sz val="10"/>
        <rFont val="Arial Narrow"/>
        <family val="2"/>
      </rPr>
      <t xml:space="preserve"> do Período</t>
    </r>
  </si>
  <si>
    <t>Caixa</t>
  </si>
  <si>
    <t>Estoque</t>
  </si>
  <si>
    <t>Imóvel</t>
  </si>
  <si>
    <t>Contas a Pagar</t>
  </si>
  <si>
    <t>Capital Social</t>
  </si>
  <si>
    <t>Lucros Acumulados</t>
  </si>
  <si>
    <t>ROE</t>
  </si>
  <si>
    <t>Contas da Demonstração do Resultado</t>
  </si>
  <si>
    <t>Margem Bruta</t>
  </si>
  <si>
    <t>Margem Líquida</t>
  </si>
  <si>
    <t>Rebimentos de Clientes</t>
  </si>
  <si>
    <t xml:space="preserve">Pagamentos a Fornecedores </t>
  </si>
  <si>
    <t>Pagamentos de Despesas</t>
  </si>
  <si>
    <t>Aquisição de Imóveis</t>
  </si>
  <si>
    <t>Ingresso de Capital</t>
  </si>
  <si>
    <t>&gt;&gt; Diferença, se houver</t>
  </si>
  <si>
    <t>&gt;&gt; Deficit no caixa das operações</t>
  </si>
  <si>
    <t>Balanço Patrimonial</t>
  </si>
  <si>
    <t xml:space="preserve">Transações, por Número </t>
  </si>
  <si>
    <t>(=) Lucro Bruto</t>
  </si>
  <si>
    <t>(=) Lucro EBIT e Lucro Líquido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</si>
</sst>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</numFmts>
  <fonts count="21" x14ac:knownFonts="1">
    <font>
      <sz val="10"/>
      <name val="Arial"/>
    </font>
    <font>
      <sz val="10"/>
      <name val="Arial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u/>
      <sz val="10"/>
      <name val="Arial Narrow"/>
      <family val="2"/>
    </font>
    <font>
      <b/>
      <i/>
      <sz val="10"/>
      <name val="Arial Narrow"/>
      <family val="2"/>
    </font>
    <font>
      <i/>
      <sz val="10"/>
      <name val="Arial Narrow"/>
      <family val="2"/>
    </font>
    <font>
      <b/>
      <sz val="10"/>
      <color indexed="12"/>
      <name val="Arial Narrow"/>
      <family val="2"/>
    </font>
    <font>
      <b/>
      <u val="double"/>
      <sz val="10"/>
      <color indexed="12"/>
      <name val="Arial Narrow"/>
      <family val="2"/>
    </font>
    <font>
      <b/>
      <sz val="10"/>
      <color indexed="18"/>
      <name val="Arial Narrow"/>
      <family val="2"/>
    </font>
    <font>
      <u val="singleAccounting"/>
      <sz val="10"/>
      <name val="Arial Narrow"/>
      <family val="2"/>
    </font>
    <font>
      <b/>
      <i/>
      <sz val="10"/>
      <color indexed="10"/>
      <name val="Arial Narrow"/>
      <family val="2"/>
    </font>
    <font>
      <sz val="10"/>
      <color indexed="10"/>
      <name val="Arial Narrow"/>
      <family val="2"/>
    </font>
    <font>
      <sz val="8"/>
      <name val="Arial"/>
      <family val="2"/>
    </font>
    <font>
      <b/>
      <sz val="10"/>
      <color indexed="10"/>
      <name val="Arial Narrow"/>
      <family val="2"/>
    </font>
    <font>
      <b/>
      <u val="singleAccounting"/>
      <sz val="10"/>
      <name val="Arial Narrow"/>
      <family val="2"/>
    </font>
    <font>
      <sz val="10"/>
      <color rgb="FF0070C0"/>
      <name val="Arial Narrow"/>
      <family val="2"/>
    </font>
    <font>
      <b/>
      <sz val="10"/>
      <color rgb="FF0070C0"/>
      <name val="Arial Narrow"/>
      <family val="2"/>
    </font>
    <font>
      <b/>
      <sz val="10"/>
      <color rgb="FFFF0000"/>
      <name val="Arial Narrow"/>
      <family val="2"/>
    </font>
    <font>
      <sz val="10"/>
      <color rgb="FFFF0000"/>
      <name val="Arial Narrow"/>
      <family val="2"/>
    </font>
    <font>
      <i/>
      <sz val="10"/>
      <color rgb="FFFF000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wrapText="1"/>
    </xf>
    <xf numFmtId="166" fontId="3" fillId="0" borderId="0" xfId="2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/>
    <xf numFmtId="0" fontId="3" fillId="0" borderId="0" xfId="0" applyFont="1" applyAlignment="1">
      <alignment wrapText="1"/>
    </xf>
    <xf numFmtId="165" fontId="3" fillId="0" borderId="0" xfId="2" applyFont="1" applyFill="1" applyBorder="1" applyAlignment="1">
      <alignment horizontal="right"/>
    </xf>
    <xf numFmtId="3" fontId="3" fillId="0" borderId="0" xfId="0" applyNumberFormat="1" applyFont="1"/>
    <xf numFmtId="166" fontId="3" fillId="0" borderId="0" xfId="2" applyNumberFormat="1" applyFont="1" applyFill="1" applyBorder="1" applyAlignment="1">
      <alignment horizontal="right"/>
    </xf>
    <xf numFmtId="0" fontId="5" fillId="0" borderId="0" xfId="0" applyFont="1"/>
    <xf numFmtId="3" fontId="3" fillId="0" borderId="2" xfId="0" applyNumberFormat="1" applyFont="1" applyBorder="1" applyAlignment="1">
      <alignment horizontal="right"/>
    </xf>
    <xf numFmtId="3" fontId="3" fillId="0" borderId="2" xfId="0" applyNumberFormat="1" applyFont="1" applyBorder="1" applyAlignment="1">
      <alignment horizontal="center"/>
    </xf>
    <xf numFmtId="0" fontId="9" fillId="0" borderId="1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3" fillId="0" borderId="3" xfId="0" applyFont="1" applyBorder="1"/>
    <xf numFmtId="0" fontId="2" fillId="0" borderId="3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2" fillId="0" borderId="3" xfId="0" applyFont="1" applyBorder="1"/>
    <xf numFmtId="166" fontId="2" fillId="2" borderId="3" xfId="2" applyNumberFormat="1" applyFont="1" applyFill="1" applyBorder="1" applyAlignment="1">
      <alignment horizontal="right"/>
    </xf>
    <xf numFmtId="164" fontId="2" fillId="2" borderId="3" xfId="2" applyNumberFormat="1" applyFont="1" applyFill="1" applyBorder="1" applyAlignment="1">
      <alignment horizontal="right"/>
    </xf>
    <xf numFmtId="0" fontId="2" fillId="0" borderId="0" xfId="0" applyFont="1" applyAlignment="1">
      <alignment horizontal="right"/>
    </xf>
    <xf numFmtId="0" fontId="3" fillId="0" borderId="6" xfId="0" applyFont="1" applyBorder="1"/>
    <xf numFmtId="0" fontId="3" fillId="0" borderId="6" xfId="0" applyFont="1" applyBorder="1" applyAlignment="1">
      <alignment horizontal="right"/>
    </xf>
    <xf numFmtId="0" fontId="3" fillId="0" borderId="7" xfId="0" applyFont="1" applyBorder="1"/>
    <xf numFmtId="0" fontId="3" fillId="0" borderId="7" xfId="0" applyFont="1" applyBorder="1" applyAlignment="1">
      <alignment horizontal="right"/>
    </xf>
    <xf numFmtId="0" fontId="2" fillId="0" borderId="2" xfId="0" applyFont="1" applyBorder="1"/>
    <xf numFmtId="0" fontId="3" fillId="0" borderId="2" xfId="0" applyFont="1" applyBorder="1" applyAlignment="1">
      <alignment horizontal="right"/>
    </xf>
    <xf numFmtId="0" fontId="2" fillId="0" borderId="6" xfId="0" applyFont="1" applyBorder="1"/>
    <xf numFmtId="0" fontId="14" fillId="0" borderId="0" xfId="0" applyFont="1"/>
    <xf numFmtId="0" fontId="12" fillId="0" borderId="0" xfId="0" applyFont="1"/>
    <xf numFmtId="166" fontId="3" fillId="0" borderId="0" xfId="2" applyNumberFormat="1" applyFont="1" applyFill="1" applyAlignment="1">
      <alignment horizontal="right"/>
    </xf>
    <xf numFmtId="166" fontId="2" fillId="0" borderId="0" xfId="2" applyNumberFormat="1" applyFont="1" applyFill="1" applyAlignment="1">
      <alignment horizontal="right"/>
    </xf>
    <xf numFmtId="0" fontId="2" fillId="0" borderId="8" xfId="0" applyFont="1" applyBorder="1" applyAlignment="1">
      <alignment horizontal="right" wrapText="1"/>
    </xf>
    <xf numFmtId="0" fontId="2" fillId="0" borderId="1" xfId="0" applyFont="1" applyBorder="1" applyAlignment="1">
      <alignment horizontal="center"/>
    </xf>
    <xf numFmtId="0" fontId="16" fillId="0" borderId="3" xfId="0" applyFont="1" applyBorder="1" applyAlignment="1">
      <alignment horizontal="right"/>
    </xf>
    <xf numFmtId="165" fontId="16" fillId="0" borderId="0" xfId="2" applyFont="1" applyFill="1" applyBorder="1" applyAlignment="1">
      <alignment horizontal="right"/>
    </xf>
    <xf numFmtId="3" fontId="16" fillId="0" borderId="0" xfId="0" applyNumberFormat="1" applyFont="1"/>
    <xf numFmtId="166" fontId="16" fillId="0" borderId="0" xfId="2" applyNumberFormat="1" applyFont="1" applyFill="1" applyBorder="1" applyAlignment="1">
      <alignment horizontal="right"/>
    </xf>
    <xf numFmtId="3" fontId="16" fillId="0" borderId="2" xfId="0" applyNumberFormat="1" applyFont="1" applyBorder="1" applyAlignment="1">
      <alignment horizontal="right"/>
    </xf>
    <xf numFmtId="3" fontId="16" fillId="0" borderId="2" xfId="0" applyNumberFormat="1" applyFont="1" applyBorder="1" applyAlignment="1">
      <alignment horizontal="center"/>
    </xf>
    <xf numFmtId="166" fontId="16" fillId="0" borderId="6" xfId="2" applyNumberFormat="1" applyFont="1" applyFill="1" applyBorder="1" applyAlignment="1">
      <alignment horizontal="right"/>
    </xf>
    <xf numFmtId="0" fontId="17" fillId="0" borderId="3" xfId="0" applyFont="1" applyBorder="1" applyAlignment="1">
      <alignment horizontal="right"/>
    </xf>
    <xf numFmtId="0" fontId="16" fillId="0" borderId="0" xfId="0" applyFont="1" applyAlignment="1">
      <alignment horizontal="right"/>
    </xf>
    <xf numFmtId="0" fontId="16" fillId="0" borderId="0" xfId="0" applyFont="1"/>
    <xf numFmtId="166" fontId="16" fillId="0" borderId="0" xfId="2" applyNumberFormat="1" applyFont="1" applyFill="1" applyAlignment="1">
      <alignment horizontal="right"/>
    </xf>
    <xf numFmtId="0" fontId="17" fillId="0" borderId="0" xfId="0" applyFont="1" applyAlignment="1">
      <alignment horizontal="right"/>
    </xf>
    <xf numFmtId="0" fontId="17" fillId="0" borderId="0" xfId="0" applyFont="1"/>
    <xf numFmtId="166" fontId="17" fillId="0" borderId="0" xfId="2" applyNumberFormat="1" applyFont="1" applyFill="1" applyAlignment="1">
      <alignment horizontal="right"/>
    </xf>
    <xf numFmtId="0" fontId="16" fillId="0" borderId="7" xfId="0" applyFont="1" applyBorder="1" applyAlignment="1">
      <alignment horizontal="right"/>
    </xf>
    <xf numFmtId="0" fontId="16" fillId="0" borderId="7" xfId="0" applyFont="1" applyBorder="1"/>
    <xf numFmtId="0" fontId="2" fillId="4" borderId="9" xfId="0" applyFont="1" applyFill="1" applyBorder="1" applyAlignment="1">
      <alignment horizontal="center" wrapText="1"/>
    </xf>
    <xf numFmtId="0" fontId="11" fillId="5" borderId="1" xfId="0" applyFont="1" applyFill="1" applyBorder="1"/>
    <xf numFmtId="0" fontId="12" fillId="0" borderId="7" xfId="0" applyFont="1" applyBorder="1"/>
    <xf numFmtId="166" fontId="2" fillId="0" borderId="3" xfId="2" applyNumberFormat="1" applyFont="1" applyBorder="1"/>
    <xf numFmtId="166" fontId="3" fillId="0" borderId="3" xfId="2" applyNumberFormat="1" applyFont="1" applyBorder="1"/>
    <xf numFmtId="9" fontId="2" fillId="0" borderId="0" xfId="1" applyFont="1"/>
    <xf numFmtId="166" fontId="3" fillId="0" borderId="5" xfId="2" applyNumberFormat="1" applyFont="1" applyBorder="1"/>
    <xf numFmtId="166" fontId="3" fillId="0" borderId="4" xfId="2" applyNumberFormat="1" applyFont="1" applyBorder="1"/>
    <xf numFmtId="166" fontId="3" fillId="3" borderId="3" xfId="2" applyNumberFormat="1" applyFont="1" applyFill="1" applyBorder="1"/>
    <xf numFmtId="166" fontId="3" fillId="0" borderId="6" xfId="2" applyNumberFormat="1" applyFont="1" applyBorder="1"/>
    <xf numFmtId="166" fontId="3" fillId="0" borderId="0" xfId="2" applyNumberFormat="1" applyFont="1" applyBorder="1"/>
    <xf numFmtId="166" fontId="3" fillId="0" borderId="7" xfId="2" applyNumberFormat="1" applyFont="1" applyBorder="1"/>
    <xf numFmtId="166" fontId="3" fillId="0" borderId="2" xfId="2" applyNumberFormat="1" applyFont="1" applyBorder="1"/>
    <xf numFmtId="166" fontId="16" fillId="0" borderId="0" xfId="2" applyNumberFormat="1" applyFont="1" applyBorder="1"/>
    <xf numFmtId="166" fontId="16" fillId="0" borderId="6" xfId="2" applyNumberFormat="1" applyFont="1" applyBorder="1"/>
    <xf numFmtId="166" fontId="16" fillId="0" borderId="7" xfId="2" applyNumberFormat="1" applyFont="1" applyBorder="1"/>
    <xf numFmtId="0" fontId="16" fillId="0" borderId="23" xfId="0" applyFont="1" applyBorder="1" applyAlignment="1">
      <alignment horizontal="right"/>
    </xf>
    <xf numFmtId="0" fontId="2" fillId="0" borderId="10" xfId="0" applyFont="1" applyBorder="1"/>
    <xf numFmtId="0" fontId="14" fillId="0" borderId="24" xfId="0" applyFont="1" applyBorder="1"/>
    <xf numFmtId="0" fontId="12" fillId="0" borderId="24" xfId="0" applyFont="1" applyBorder="1"/>
    <xf numFmtId="0" fontId="12" fillId="0" borderId="12" xfId="0" applyFont="1" applyBorder="1"/>
    <xf numFmtId="0" fontId="2" fillId="0" borderId="24" xfId="0" applyFont="1" applyBorder="1"/>
    <xf numFmtId="0" fontId="2" fillId="0" borderId="25" xfId="0" applyFont="1" applyBorder="1"/>
    <xf numFmtId="0" fontId="3" fillId="0" borderId="12" xfId="0" applyFont="1" applyBorder="1"/>
    <xf numFmtId="0" fontId="3" fillId="0" borderId="26" xfId="0" applyFont="1" applyBorder="1"/>
    <xf numFmtId="0" fontId="16" fillId="0" borderId="27" xfId="0" applyFont="1" applyBorder="1" applyAlignment="1">
      <alignment horizontal="right"/>
    </xf>
    <xf numFmtId="0" fontId="16" fillId="0" borderId="27" xfId="0" applyFont="1" applyBorder="1"/>
    <xf numFmtId="0" fontId="16" fillId="0" borderId="28" xfId="0" applyFont="1" applyBorder="1"/>
    <xf numFmtId="0" fontId="16" fillId="0" borderId="21" xfId="0" applyFont="1" applyBorder="1"/>
    <xf numFmtId="166" fontId="15" fillId="3" borderId="14" xfId="2" applyNumberFormat="1" applyFont="1" applyFill="1" applyBorder="1" applyAlignment="1">
      <alignment horizontal="right"/>
    </xf>
    <xf numFmtId="166" fontId="3" fillId="3" borderId="15" xfId="2" applyNumberFormat="1" applyFont="1" applyFill="1" applyBorder="1" applyAlignment="1">
      <alignment horizontal="right"/>
    </xf>
    <xf numFmtId="166" fontId="15" fillId="3" borderId="16" xfId="2" applyNumberFormat="1" applyFont="1" applyFill="1" applyBorder="1" applyAlignment="1">
      <alignment horizontal="right"/>
    </xf>
    <xf numFmtId="166" fontId="3" fillId="3" borderId="17" xfId="2" applyNumberFormat="1" applyFont="1" applyFill="1" applyBorder="1" applyAlignment="1">
      <alignment horizontal="right"/>
    </xf>
    <xf numFmtId="166" fontId="15" fillId="3" borderId="15" xfId="2" applyNumberFormat="1" applyFont="1" applyFill="1" applyBorder="1" applyAlignment="1">
      <alignment horizontal="right"/>
    </xf>
    <xf numFmtId="166" fontId="2" fillId="3" borderId="11" xfId="2" applyNumberFormat="1" applyFont="1" applyFill="1" applyBorder="1" applyAlignment="1">
      <alignment horizontal="right"/>
    </xf>
    <xf numFmtId="0" fontId="3" fillId="0" borderId="1" xfId="0" applyFont="1" applyBorder="1"/>
    <xf numFmtId="166" fontId="3" fillId="0" borderId="1" xfId="2" applyNumberFormat="1" applyFont="1" applyBorder="1"/>
    <xf numFmtId="166" fontId="2" fillId="0" borderId="1" xfId="2" applyNumberFormat="1" applyFont="1" applyBorder="1"/>
    <xf numFmtId="166" fontId="3" fillId="0" borderId="6" xfId="2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center" wrapText="1"/>
    </xf>
    <xf numFmtId="166" fontId="3" fillId="0" borderId="10" xfId="2" applyNumberFormat="1" applyFont="1" applyBorder="1"/>
    <xf numFmtId="166" fontId="3" fillId="0" borderId="12" xfId="2" applyNumberFormat="1" applyFont="1" applyBorder="1"/>
    <xf numFmtId="166" fontId="3" fillId="3" borderId="1" xfId="2" applyNumberFormat="1" applyFont="1" applyFill="1" applyBorder="1"/>
    <xf numFmtId="166" fontId="2" fillId="2" borderId="1" xfId="2" applyNumberFormat="1" applyFont="1" applyFill="1" applyBorder="1" applyAlignment="1">
      <alignment horizontal="right"/>
    </xf>
    <xf numFmtId="164" fontId="2" fillId="2" borderId="1" xfId="2" applyNumberFormat="1" applyFont="1" applyFill="1" applyBorder="1" applyAlignment="1">
      <alignment horizontal="right"/>
    </xf>
    <xf numFmtId="0" fontId="2" fillId="2" borderId="9" xfId="0" applyFont="1" applyFill="1" applyBorder="1" applyAlignment="1">
      <alignment horizontal="center" wrapText="1"/>
    </xf>
    <xf numFmtId="0" fontId="2" fillId="2" borderId="11" xfId="0" applyFont="1" applyFill="1" applyBorder="1" applyAlignment="1">
      <alignment horizontal="right"/>
    </xf>
    <xf numFmtId="166" fontId="2" fillId="2" borderId="11" xfId="2" applyNumberFormat="1" applyFont="1" applyFill="1" applyBorder="1" applyAlignment="1">
      <alignment horizontal="right"/>
    </xf>
    <xf numFmtId="166" fontId="2" fillId="2" borderId="13" xfId="2" applyNumberFormat="1" applyFont="1" applyFill="1" applyBorder="1" applyAlignment="1">
      <alignment horizontal="right"/>
    </xf>
    <xf numFmtId="166" fontId="3" fillId="0" borderId="3" xfId="2" applyNumberFormat="1" applyFont="1" applyFill="1" applyBorder="1"/>
    <xf numFmtId="166" fontId="3" fillId="0" borderId="1" xfId="2" applyNumberFormat="1" applyFont="1" applyFill="1" applyBorder="1"/>
    <xf numFmtId="166" fontId="3" fillId="0" borderId="5" xfId="2" applyNumberFormat="1" applyFont="1" applyFill="1" applyBorder="1"/>
    <xf numFmtId="166" fontId="3" fillId="0" borderId="10" xfId="2" applyNumberFormat="1" applyFont="1" applyFill="1" applyBorder="1"/>
    <xf numFmtId="166" fontId="2" fillId="4" borderId="11" xfId="2" applyNumberFormat="1" applyFont="1" applyFill="1" applyBorder="1" applyAlignment="1">
      <alignment horizontal="right"/>
    </xf>
    <xf numFmtId="166" fontId="3" fillId="0" borderId="4" xfId="2" applyNumberFormat="1" applyFont="1" applyFill="1" applyBorder="1"/>
    <xf numFmtId="166" fontId="3" fillId="0" borderId="12" xfId="2" applyNumberFormat="1" applyFont="1" applyFill="1" applyBorder="1"/>
    <xf numFmtId="166" fontId="2" fillId="4" borderId="3" xfId="2" applyNumberFormat="1" applyFont="1" applyFill="1" applyBorder="1" applyAlignment="1">
      <alignment horizontal="right"/>
    </xf>
    <xf numFmtId="166" fontId="2" fillId="4" borderId="1" xfId="2" applyNumberFormat="1" applyFont="1" applyFill="1" applyBorder="1" applyAlignment="1">
      <alignment horizontal="right"/>
    </xf>
    <xf numFmtId="166" fontId="2" fillId="4" borderId="13" xfId="2" applyNumberFormat="1" applyFont="1" applyFill="1" applyBorder="1" applyAlignment="1">
      <alignment horizontal="right"/>
    </xf>
    <xf numFmtId="166" fontId="3" fillId="6" borderId="9" xfId="2" applyNumberFormat="1" applyFont="1" applyFill="1" applyBorder="1" applyAlignment="1">
      <alignment horizontal="right"/>
    </xf>
    <xf numFmtId="3" fontId="3" fillId="0" borderId="3" xfId="0" applyNumberFormat="1" applyFont="1" applyBorder="1"/>
    <xf numFmtId="166" fontId="3" fillId="6" borderId="11" xfId="2" applyNumberFormat="1" applyFont="1" applyFill="1" applyBorder="1" applyAlignment="1">
      <alignment horizontal="right"/>
    </xf>
    <xf numFmtId="166" fontId="10" fillId="6" borderId="11" xfId="2" applyNumberFormat="1" applyFont="1" applyFill="1" applyBorder="1" applyAlignment="1">
      <alignment horizontal="right"/>
    </xf>
    <xf numFmtId="3" fontId="2" fillId="0" borderId="3" xfId="0" applyNumberFormat="1" applyFont="1" applyBorder="1"/>
    <xf numFmtId="0" fontId="2" fillId="0" borderId="1" xfId="0" applyFont="1" applyBorder="1"/>
    <xf numFmtId="166" fontId="2" fillId="6" borderId="11" xfId="2" applyNumberFormat="1" applyFont="1" applyFill="1" applyBorder="1" applyAlignment="1">
      <alignment horizontal="right"/>
    </xf>
    <xf numFmtId="3" fontId="3" fillId="0" borderId="1" xfId="0" applyNumberFormat="1" applyFont="1" applyBorder="1"/>
    <xf numFmtId="166" fontId="2" fillId="6" borderId="13" xfId="2" applyNumberFormat="1" applyFont="1" applyFill="1" applyBorder="1" applyAlignment="1">
      <alignment horizontal="right"/>
    </xf>
    <xf numFmtId="166" fontId="3" fillId="0" borderId="19" xfId="2" applyNumberFormat="1" applyFont="1" applyBorder="1"/>
    <xf numFmtId="166" fontId="15" fillId="7" borderId="14" xfId="2" applyNumberFormat="1" applyFont="1" applyFill="1" applyBorder="1" applyAlignment="1">
      <alignment horizontal="right"/>
    </xf>
    <xf numFmtId="166" fontId="3" fillId="0" borderId="20" xfId="2" applyNumberFormat="1" applyFont="1" applyBorder="1"/>
    <xf numFmtId="166" fontId="3" fillId="7" borderId="15" xfId="2" applyNumberFormat="1" applyFont="1" applyFill="1" applyBorder="1" applyAlignment="1">
      <alignment horizontal="right"/>
    </xf>
    <xf numFmtId="166" fontId="3" fillId="0" borderId="21" xfId="2" applyNumberFormat="1" applyFont="1" applyBorder="1"/>
    <xf numFmtId="166" fontId="15" fillId="7" borderId="16" xfId="2" applyNumberFormat="1" applyFont="1" applyFill="1" applyBorder="1" applyAlignment="1">
      <alignment horizontal="right"/>
    </xf>
    <xf numFmtId="166" fontId="3" fillId="7" borderId="17" xfId="2" applyNumberFormat="1" applyFont="1" applyFill="1" applyBorder="1" applyAlignment="1">
      <alignment horizontal="right"/>
    </xf>
    <xf numFmtId="166" fontId="15" fillId="7" borderId="15" xfId="2" applyNumberFormat="1" applyFont="1" applyFill="1" applyBorder="1" applyAlignment="1">
      <alignment horizontal="right"/>
    </xf>
    <xf numFmtId="0" fontId="3" fillId="0" borderId="23" xfId="0" applyFont="1" applyBorder="1"/>
    <xf numFmtId="166" fontId="2" fillId="7" borderId="22" xfId="2" applyNumberFormat="1" applyFont="1" applyFill="1" applyBorder="1" applyAlignment="1">
      <alignment horizontal="right"/>
    </xf>
    <xf numFmtId="165" fontId="3" fillId="0" borderId="0" xfId="2" applyFont="1"/>
    <xf numFmtId="166" fontId="18" fillId="5" borderId="3" xfId="2" applyNumberFormat="1" applyFont="1" applyFill="1" applyBorder="1" applyAlignment="1">
      <alignment horizontal="right"/>
    </xf>
    <xf numFmtId="0" fontId="19" fillId="0" borderId="0" xfId="0" applyFont="1"/>
    <xf numFmtId="0" fontId="20" fillId="0" borderId="0" xfId="0" applyFont="1"/>
    <xf numFmtId="166" fontId="19" fillId="5" borderId="0" xfId="2" applyNumberFormat="1" applyFont="1" applyFill="1" applyBorder="1" applyAlignment="1">
      <alignment horizontal="right"/>
    </xf>
    <xf numFmtId="166" fontId="3" fillId="0" borderId="14" xfId="2" applyNumberFormat="1" applyFont="1" applyFill="1" applyBorder="1" applyAlignment="1">
      <alignment horizontal="right"/>
    </xf>
    <xf numFmtId="166" fontId="3" fillId="0" borderId="18" xfId="2" applyNumberFormat="1" applyFont="1" applyFill="1" applyBorder="1" applyAlignment="1">
      <alignment horizontal="right"/>
    </xf>
    <xf numFmtId="166" fontId="3" fillId="0" borderId="16" xfId="2" applyNumberFormat="1" applyFont="1" applyFill="1" applyBorder="1" applyAlignment="1">
      <alignment horizontal="right"/>
    </xf>
    <xf numFmtId="166" fontId="14" fillId="5" borderId="3" xfId="2" applyNumberFormat="1" applyFont="1" applyFill="1" applyBorder="1" applyAlignment="1">
      <alignment horizontal="right"/>
    </xf>
    <xf numFmtId="166" fontId="14" fillId="5" borderId="27" xfId="2" applyNumberFormat="1" applyFont="1" applyFill="1" applyBorder="1" applyAlignment="1">
      <alignment horizontal="right"/>
    </xf>
    <xf numFmtId="0" fontId="3" fillId="0" borderId="2" xfId="0" applyFont="1" applyBorder="1"/>
    <xf numFmtId="9" fontId="18" fillId="0" borderId="0" xfId="1" applyFont="1"/>
    <xf numFmtId="0" fontId="18" fillId="0" borderId="0" xfId="0" applyFont="1"/>
    <xf numFmtId="166" fontId="3" fillId="6" borderId="3" xfId="2" applyNumberFormat="1" applyFont="1" applyFill="1" applyBorder="1"/>
    <xf numFmtId="166" fontId="3" fillId="6" borderId="1" xfId="2" applyNumberFormat="1" applyFont="1" applyFill="1" applyBorder="1"/>
    <xf numFmtId="164" fontId="2" fillId="6" borderId="3" xfId="2" applyNumberFormat="1" applyFont="1" applyFill="1" applyBorder="1" applyAlignment="1">
      <alignment horizontal="center"/>
    </xf>
    <xf numFmtId="164" fontId="2" fillId="6" borderId="1" xfId="2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7" fillId="0" borderId="10" xfId="0" applyFont="1" applyBorder="1"/>
    <xf numFmtId="0" fontId="8" fillId="0" borderId="12" xfId="0" applyFont="1" applyBorder="1"/>
    <xf numFmtId="0" fontId="12" fillId="0" borderId="1" xfId="0" applyFont="1" applyBorder="1"/>
    <xf numFmtId="0" fontId="8" fillId="0" borderId="1" xfId="0" applyFont="1" applyBorder="1"/>
    <xf numFmtId="0" fontId="2" fillId="2" borderId="1" xfId="0" applyFont="1" applyFill="1" applyBorder="1"/>
    <xf numFmtId="0" fontId="7" fillId="0" borderId="10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6" fillId="0" borderId="29" xfId="0" applyFont="1" applyBorder="1" applyAlignment="1">
      <alignment horizontal="center" wrapText="1"/>
    </xf>
    <xf numFmtId="0" fontId="2" fillId="0" borderId="29" xfId="0" applyFont="1" applyBorder="1" applyAlignment="1">
      <alignment horizontal="center"/>
    </xf>
    <xf numFmtId="166" fontId="3" fillId="0" borderId="8" xfId="2" applyNumberFormat="1" applyFont="1" applyBorder="1"/>
    <xf numFmtId="166" fontId="3" fillId="0" borderId="30" xfId="2" applyNumberFormat="1" applyFont="1" applyBorder="1"/>
    <xf numFmtId="166" fontId="3" fillId="3" borderId="29" xfId="2" applyNumberFormat="1" applyFont="1" applyFill="1" applyBorder="1"/>
    <xf numFmtId="166" fontId="3" fillId="0" borderId="29" xfId="2" applyNumberFormat="1" applyFont="1" applyBorder="1"/>
    <xf numFmtId="166" fontId="2" fillId="2" borderId="29" xfId="2" applyNumberFormat="1" applyFont="1" applyFill="1" applyBorder="1" applyAlignment="1">
      <alignment horizontal="right"/>
    </xf>
    <xf numFmtId="166" fontId="3" fillId="6" borderId="29" xfId="2" applyNumberFormat="1" applyFont="1" applyFill="1" applyBorder="1"/>
    <xf numFmtId="164" fontId="2" fillId="2" borderId="29" xfId="2" applyNumberFormat="1" applyFont="1" applyFill="1" applyBorder="1" applyAlignment="1">
      <alignment horizontal="right"/>
    </xf>
    <xf numFmtId="0" fontId="2" fillId="0" borderId="6" xfId="0" applyFont="1" applyBorder="1" applyAlignment="1">
      <alignment horizontal="right" wrapText="1"/>
    </xf>
    <xf numFmtId="0" fontId="3" fillId="2" borderId="16" xfId="0" applyFont="1" applyFill="1" applyBorder="1" applyAlignment="1">
      <alignment horizontal="right"/>
    </xf>
    <xf numFmtId="0" fontId="3" fillId="2" borderId="17" xfId="0" applyFont="1" applyFill="1" applyBorder="1" applyAlignment="1">
      <alignment horizontal="right"/>
    </xf>
    <xf numFmtId="3" fontId="3" fillId="2" borderId="11" xfId="0" applyNumberFormat="1" applyFont="1" applyFill="1" applyBorder="1" applyAlignment="1">
      <alignment horizontal="right"/>
    </xf>
    <xf numFmtId="0" fontId="3" fillId="2" borderId="11" xfId="0" applyFont="1" applyFill="1" applyBorder="1" applyAlignment="1">
      <alignment horizontal="right"/>
    </xf>
    <xf numFmtId="164" fontId="3" fillId="2" borderId="11" xfId="2" applyNumberFormat="1" applyFont="1" applyFill="1" applyBorder="1" applyAlignment="1">
      <alignment horizontal="right"/>
    </xf>
    <xf numFmtId="3" fontId="3" fillId="2" borderId="16" xfId="0" applyNumberFormat="1" applyFont="1" applyFill="1" applyBorder="1" applyAlignment="1">
      <alignment horizontal="right"/>
    </xf>
    <xf numFmtId="3" fontId="3" fillId="2" borderId="17" xfId="0" applyNumberFormat="1" applyFont="1" applyFill="1" applyBorder="1" applyAlignment="1">
      <alignment horizontal="right"/>
    </xf>
    <xf numFmtId="164" fontId="2" fillId="2" borderId="13" xfId="2" applyNumberFormat="1" applyFont="1" applyFill="1" applyBorder="1" applyAlignment="1">
      <alignment horizontal="right"/>
    </xf>
    <xf numFmtId="0" fontId="3" fillId="0" borderId="29" xfId="0" applyFont="1" applyBorder="1" applyAlignment="1">
      <alignment horizontal="right"/>
    </xf>
    <xf numFmtId="0" fontId="2" fillId="0" borderId="29" xfId="0" applyFont="1" applyBorder="1" applyAlignment="1">
      <alignment horizontal="right"/>
    </xf>
    <xf numFmtId="0" fontId="3" fillId="0" borderId="1" xfId="0" quotePrefix="1" applyFont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wrapText="1"/>
    </xf>
    <xf numFmtId="166" fontId="3" fillId="0" borderId="8" xfId="2" applyNumberFormat="1" applyFont="1" applyFill="1" applyBorder="1"/>
    <xf numFmtId="166" fontId="3" fillId="0" borderId="30" xfId="2" applyNumberFormat="1" applyFont="1" applyFill="1" applyBorder="1"/>
    <xf numFmtId="166" fontId="3" fillId="0" borderId="29" xfId="2" applyNumberFormat="1" applyFont="1" applyFill="1" applyBorder="1"/>
    <xf numFmtId="166" fontId="2" fillId="4" borderId="29" xfId="2" applyNumberFormat="1" applyFont="1" applyFill="1" applyBorder="1" applyAlignment="1">
      <alignment horizontal="right"/>
    </xf>
    <xf numFmtId="0" fontId="16" fillId="4" borderId="16" xfId="0" applyFont="1" applyFill="1" applyBorder="1" applyAlignment="1">
      <alignment horizontal="right"/>
    </xf>
    <xf numFmtId="0" fontId="16" fillId="4" borderId="17" xfId="0" applyFont="1" applyFill="1" applyBorder="1" applyAlignment="1">
      <alignment horizontal="right"/>
    </xf>
    <xf numFmtId="3" fontId="16" fillId="4" borderId="11" xfId="0" applyNumberFormat="1" applyFont="1" applyFill="1" applyBorder="1" applyAlignment="1">
      <alignment horizontal="right"/>
    </xf>
    <xf numFmtId="0" fontId="16" fillId="4" borderId="11" xfId="0" applyFont="1" applyFill="1" applyBorder="1" applyAlignment="1">
      <alignment horizontal="right"/>
    </xf>
    <xf numFmtId="164" fontId="16" fillId="4" borderId="11" xfId="2" applyNumberFormat="1" applyFont="1" applyFill="1" applyBorder="1" applyAlignment="1">
      <alignment horizontal="right"/>
    </xf>
    <xf numFmtId="166" fontId="17" fillId="4" borderId="11" xfId="2" applyNumberFormat="1" applyFont="1" applyFill="1" applyBorder="1" applyAlignment="1">
      <alignment horizontal="right"/>
    </xf>
    <xf numFmtId="3" fontId="16" fillId="4" borderId="16" xfId="0" applyNumberFormat="1" applyFont="1" applyFill="1" applyBorder="1" applyAlignment="1">
      <alignment horizontal="right"/>
    </xf>
    <xf numFmtId="3" fontId="16" fillId="4" borderId="17" xfId="0" applyNumberFormat="1" applyFont="1" applyFill="1" applyBorder="1" applyAlignment="1">
      <alignment horizontal="right"/>
    </xf>
    <xf numFmtId="164" fontId="17" fillId="4" borderId="13" xfId="2" applyNumberFormat="1" applyFont="1" applyFill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3">
    <cellStyle name="Normal" xfId="0" builtinId="0"/>
    <cellStyle name="Porcentagem" xfId="1" builtinId="5"/>
    <cellStyle name="Vírgula" xfId="2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45"/>
  <sheetViews>
    <sheetView zoomScaleNormal="100" workbookViewId="0">
      <selection activeCell="M19" sqref="M19"/>
    </sheetView>
  </sheetViews>
  <sheetFormatPr defaultColWidth="9.1796875" defaultRowHeight="13" x14ac:dyDescent="0.3"/>
  <cols>
    <col min="1" max="1" width="1.453125" style="1" customWidth="1"/>
    <col min="2" max="2" width="25.453125" style="1" customWidth="1"/>
    <col min="3" max="3" width="10" style="4" customWidth="1"/>
    <col min="4" max="4" width="8.453125" style="1" customWidth="1"/>
    <col min="5" max="9" width="9.453125" style="1" customWidth="1"/>
    <col min="10" max="10" width="9.453125" style="4" customWidth="1"/>
    <col min="11" max="16384" width="9.1796875" style="1"/>
  </cols>
  <sheetData>
    <row r="1" spans="2:10" ht="15.75" customHeight="1" thickBot="1" x14ac:dyDescent="0.35">
      <c r="B1" s="13" t="s">
        <v>51</v>
      </c>
      <c r="C1" s="163"/>
      <c r="D1" s="26" t="s">
        <v>52</v>
      </c>
      <c r="E1" s="139"/>
      <c r="F1" s="139"/>
      <c r="G1" s="139"/>
      <c r="H1" s="139"/>
      <c r="I1" s="139"/>
      <c r="J1" s="33"/>
    </row>
    <row r="2" spans="2:10" ht="22.5" customHeight="1" x14ac:dyDescent="0.3">
      <c r="B2" s="86"/>
      <c r="C2" s="51" t="s">
        <v>2</v>
      </c>
      <c r="D2" s="155">
        <v>1</v>
      </c>
      <c r="E2" s="16">
        <f>1+D2</f>
        <v>2</v>
      </c>
      <c r="F2" s="16">
        <f>1+E2</f>
        <v>3</v>
      </c>
      <c r="G2" s="16">
        <f>1+F2</f>
        <v>4</v>
      </c>
      <c r="H2" s="16">
        <f>1+G2</f>
        <v>5</v>
      </c>
      <c r="I2" s="34">
        <f>1+H2</f>
        <v>6</v>
      </c>
      <c r="J2" s="51" t="s">
        <v>3</v>
      </c>
    </row>
    <row r="3" spans="2:10" ht="17.149999999999999" customHeight="1" x14ac:dyDescent="0.3">
      <c r="B3" s="147" t="s">
        <v>4</v>
      </c>
      <c r="C3" s="181"/>
      <c r="D3" s="177"/>
      <c r="E3" s="102"/>
      <c r="F3" s="102"/>
      <c r="G3" s="102"/>
      <c r="H3" s="102"/>
      <c r="I3" s="103"/>
      <c r="J3" s="104">
        <f t="shared" ref="J3:J18" si="0">SUM(C3:I3)</f>
        <v>0</v>
      </c>
    </row>
    <row r="4" spans="2:10" ht="17.149999999999999" customHeight="1" x14ac:dyDescent="0.3">
      <c r="B4" s="148" t="s">
        <v>5</v>
      </c>
      <c r="C4" s="182"/>
      <c r="D4" s="178"/>
      <c r="E4" s="105"/>
      <c r="F4" s="105"/>
      <c r="G4" s="105"/>
      <c r="H4" s="105"/>
      <c r="I4" s="106"/>
      <c r="J4" s="104">
        <f t="shared" si="0"/>
        <v>0</v>
      </c>
    </row>
    <row r="5" spans="2:10" ht="17.149999999999999" customHeight="1" x14ac:dyDescent="0.3">
      <c r="B5" s="149"/>
      <c r="C5" s="183"/>
      <c r="D5" s="179"/>
      <c r="E5" s="100"/>
      <c r="F5" s="100"/>
      <c r="G5" s="100"/>
      <c r="H5" s="100"/>
      <c r="I5" s="101"/>
      <c r="J5" s="104">
        <f t="shared" si="0"/>
        <v>0</v>
      </c>
    </row>
    <row r="6" spans="2:10" ht="17.149999999999999" customHeight="1" x14ac:dyDescent="0.3">
      <c r="B6" s="149"/>
      <c r="C6" s="183"/>
      <c r="D6" s="179"/>
      <c r="E6" s="100"/>
      <c r="F6" s="100"/>
      <c r="G6" s="100"/>
      <c r="H6" s="100"/>
      <c r="I6" s="101"/>
      <c r="J6" s="104">
        <f t="shared" si="0"/>
        <v>0</v>
      </c>
    </row>
    <row r="7" spans="2:10" ht="17.149999999999999" customHeight="1" x14ac:dyDescent="0.3">
      <c r="B7" s="86"/>
      <c r="C7" s="183"/>
      <c r="D7" s="179"/>
      <c r="E7" s="100"/>
      <c r="F7" s="100"/>
      <c r="G7" s="100"/>
      <c r="H7" s="100"/>
      <c r="I7" s="101"/>
      <c r="J7" s="104">
        <f t="shared" si="0"/>
        <v>0</v>
      </c>
    </row>
    <row r="8" spans="2:10" ht="17.149999999999999" customHeight="1" x14ac:dyDescent="0.3">
      <c r="B8" s="150" t="s">
        <v>6</v>
      </c>
      <c r="C8" s="184"/>
      <c r="D8" s="179"/>
      <c r="E8" s="100"/>
      <c r="F8" s="100"/>
      <c r="G8" s="100"/>
      <c r="H8" s="100"/>
      <c r="I8" s="101"/>
      <c r="J8" s="104">
        <f t="shared" si="0"/>
        <v>0</v>
      </c>
    </row>
    <row r="9" spans="2:10" ht="17.149999999999999" customHeight="1" x14ac:dyDescent="0.3">
      <c r="B9" s="149"/>
      <c r="C9" s="183"/>
      <c r="D9" s="179"/>
      <c r="E9" s="100"/>
      <c r="F9" s="100"/>
      <c r="G9" s="100"/>
      <c r="H9" s="100"/>
      <c r="I9" s="101"/>
      <c r="J9" s="104">
        <f t="shared" si="0"/>
        <v>0</v>
      </c>
    </row>
    <row r="10" spans="2:10" ht="17.149999999999999" customHeight="1" x14ac:dyDescent="0.3">
      <c r="B10" s="86"/>
      <c r="C10" s="185"/>
      <c r="D10" s="179"/>
      <c r="E10" s="100"/>
      <c r="F10" s="100"/>
      <c r="G10" s="100"/>
      <c r="H10" s="100"/>
      <c r="I10" s="101"/>
      <c r="J10" s="104">
        <f t="shared" si="0"/>
        <v>0</v>
      </c>
    </row>
    <row r="11" spans="2:10" ht="17.149999999999999" customHeight="1" x14ac:dyDescent="0.3">
      <c r="B11" s="175" t="s">
        <v>7</v>
      </c>
      <c r="C11" s="186">
        <f t="shared" ref="C11:I11" si="1">SUM(C3:C10)</f>
        <v>0</v>
      </c>
      <c r="D11" s="180">
        <f t="shared" si="1"/>
        <v>0</v>
      </c>
      <c r="E11" s="107">
        <f t="shared" si="1"/>
        <v>0</v>
      </c>
      <c r="F11" s="107">
        <f t="shared" si="1"/>
        <v>0</v>
      </c>
      <c r="G11" s="107">
        <f t="shared" si="1"/>
        <v>0</v>
      </c>
      <c r="H11" s="107">
        <f t="shared" si="1"/>
        <v>0</v>
      </c>
      <c r="I11" s="108">
        <f t="shared" si="1"/>
        <v>0</v>
      </c>
      <c r="J11" s="104">
        <f>SUM(J3:J10)</f>
        <v>0</v>
      </c>
    </row>
    <row r="12" spans="2:10" ht="17.149999999999999" customHeight="1" x14ac:dyDescent="0.3">
      <c r="B12" s="152" t="s">
        <v>8</v>
      </c>
      <c r="C12" s="187"/>
      <c r="D12" s="177"/>
      <c r="E12" s="102"/>
      <c r="F12" s="102"/>
      <c r="G12" s="102"/>
      <c r="H12" s="102"/>
      <c r="I12" s="103"/>
      <c r="J12" s="104">
        <f t="shared" si="0"/>
        <v>0</v>
      </c>
    </row>
    <row r="13" spans="2:10" ht="17.149999999999999" customHeight="1" x14ac:dyDescent="0.3">
      <c r="B13" s="148" t="s">
        <v>9</v>
      </c>
      <c r="C13" s="188"/>
      <c r="D13" s="178"/>
      <c r="E13" s="105"/>
      <c r="F13" s="105"/>
      <c r="G13" s="105"/>
      <c r="H13" s="105"/>
      <c r="I13" s="106"/>
      <c r="J13" s="104">
        <f t="shared" si="0"/>
        <v>0</v>
      </c>
    </row>
    <row r="14" spans="2:10" ht="17.149999999999999" customHeight="1" x14ac:dyDescent="0.3">
      <c r="B14" s="149"/>
      <c r="C14" s="183"/>
      <c r="D14" s="179"/>
      <c r="E14" s="100"/>
      <c r="F14" s="100"/>
      <c r="G14" s="100"/>
      <c r="H14" s="100"/>
      <c r="I14" s="101"/>
      <c r="J14" s="104">
        <f t="shared" si="0"/>
        <v>0</v>
      </c>
    </row>
    <row r="15" spans="2:10" ht="17.149999999999999" customHeight="1" x14ac:dyDescent="0.3">
      <c r="B15" s="149"/>
      <c r="C15" s="183"/>
      <c r="D15" s="179"/>
      <c r="E15" s="100"/>
      <c r="F15" s="100"/>
      <c r="G15" s="100"/>
      <c r="H15" s="100"/>
      <c r="I15" s="101"/>
      <c r="J15" s="104">
        <f t="shared" si="0"/>
        <v>0</v>
      </c>
    </row>
    <row r="16" spans="2:10" ht="17.149999999999999" customHeight="1" x14ac:dyDescent="0.3">
      <c r="B16" s="150" t="s">
        <v>10</v>
      </c>
      <c r="C16" s="183"/>
      <c r="D16" s="179"/>
      <c r="E16" s="100"/>
      <c r="F16" s="100"/>
      <c r="G16" s="100"/>
      <c r="H16" s="100"/>
      <c r="I16" s="101"/>
      <c r="J16" s="104">
        <f t="shared" si="0"/>
        <v>0</v>
      </c>
    </row>
    <row r="17" spans="2:11" ht="17.149999999999999" customHeight="1" x14ac:dyDescent="0.3">
      <c r="B17" s="149"/>
      <c r="C17" s="183"/>
      <c r="D17" s="179"/>
      <c r="E17" s="100"/>
      <c r="F17" s="100"/>
      <c r="G17" s="100"/>
      <c r="H17" s="100"/>
      <c r="I17" s="101"/>
      <c r="J17" s="104">
        <f t="shared" si="0"/>
        <v>0</v>
      </c>
    </row>
    <row r="18" spans="2:11" ht="17.149999999999999" customHeight="1" x14ac:dyDescent="0.3">
      <c r="B18" s="149"/>
      <c r="C18" s="183"/>
      <c r="D18" s="179"/>
      <c r="E18" s="100"/>
      <c r="F18" s="100"/>
      <c r="G18" s="100"/>
      <c r="H18" s="100"/>
      <c r="I18" s="101"/>
      <c r="J18" s="104">
        <f t="shared" si="0"/>
        <v>0</v>
      </c>
    </row>
    <row r="19" spans="2:11" s="5" customFormat="1" ht="17.149999999999999" customHeight="1" thickBot="1" x14ac:dyDescent="0.35">
      <c r="B19" s="176" t="s">
        <v>11</v>
      </c>
      <c r="C19" s="189">
        <f t="shared" ref="C19:I19" si="2">SUM(C12:C18)</f>
        <v>0</v>
      </c>
      <c r="D19" s="180">
        <f t="shared" si="2"/>
        <v>0</v>
      </c>
      <c r="E19" s="107">
        <f t="shared" si="2"/>
        <v>0</v>
      </c>
      <c r="F19" s="107">
        <f t="shared" si="2"/>
        <v>0</v>
      </c>
      <c r="G19" s="107">
        <f t="shared" si="2"/>
        <v>0</v>
      </c>
      <c r="H19" s="107">
        <f t="shared" si="2"/>
        <v>0</v>
      </c>
      <c r="I19" s="108">
        <f t="shared" si="2"/>
        <v>0</v>
      </c>
      <c r="J19" s="109">
        <f>SUM(J12:J18)</f>
        <v>0</v>
      </c>
    </row>
    <row r="20" spans="2:11" ht="9.75" customHeight="1" x14ac:dyDescent="0.3">
      <c r="B20" s="6"/>
      <c r="C20" s="36"/>
      <c r="D20" s="37"/>
      <c r="E20" s="37"/>
      <c r="F20" s="37"/>
      <c r="G20" s="37"/>
      <c r="H20" s="37"/>
      <c r="I20" s="37"/>
      <c r="J20" s="38"/>
    </row>
    <row r="21" spans="2:11" ht="17.149999999999999" customHeight="1" x14ac:dyDescent="0.3">
      <c r="B21" s="52" t="s">
        <v>12</v>
      </c>
      <c r="C21" s="130">
        <f t="shared" ref="C21:J21" si="3">C11-C19</f>
        <v>0</v>
      </c>
      <c r="D21" s="130">
        <f t="shared" si="3"/>
        <v>0</v>
      </c>
      <c r="E21" s="130">
        <f t="shared" si="3"/>
        <v>0</v>
      </c>
      <c r="F21" s="130">
        <f t="shared" si="3"/>
        <v>0</v>
      </c>
      <c r="G21" s="130">
        <f t="shared" si="3"/>
        <v>0</v>
      </c>
      <c r="H21" s="130">
        <f t="shared" si="3"/>
        <v>0</v>
      </c>
      <c r="I21" s="130">
        <f t="shared" si="3"/>
        <v>0</v>
      </c>
      <c r="J21" s="130">
        <f t="shared" si="3"/>
        <v>0</v>
      </c>
    </row>
    <row r="22" spans="2:11" ht="12.75" customHeight="1" thickBot="1" x14ac:dyDescent="0.35">
      <c r="B22" s="10"/>
      <c r="C22" s="39"/>
      <c r="D22" s="40"/>
      <c r="E22" s="40"/>
      <c r="F22" s="40"/>
      <c r="G22" s="40"/>
      <c r="H22" s="40"/>
      <c r="I22" s="40"/>
      <c r="J22" s="41"/>
    </row>
    <row r="23" spans="2:11" ht="17.25" customHeight="1" x14ac:dyDescent="0.3">
      <c r="B23" s="17" t="s">
        <v>13</v>
      </c>
      <c r="C23" s="35"/>
      <c r="D23" s="15"/>
      <c r="E23" s="15"/>
      <c r="F23" s="15"/>
      <c r="G23" s="15"/>
      <c r="H23" s="15"/>
      <c r="I23" s="86"/>
      <c r="J23" s="110"/>
      <c r="K23" s="56"/>
    </row>
    <row r="24" spans="2:11" ht="17.149999999999999" customHeight="1" x14ac:dyDescent="0.3">
      <c r="B24" s="15" t="s">
        <v>14</v>
      </c>
      <c r="C24" s="35"/>
      <c r="D24" s="15"/>
      <c r="E24" s="15"/>
      <c r="F24" s="15"/>
      <c r="G24" s="111"/>
      <c r="H24" s="15"/>
      <c r="I24" s="86"/>
      <c r="J24" s="112">
        <f>SUM(D24:I24)</f>
        <v>0</v>
      </c>
      <c r="K24" s="56"/>
    </row>
    <row r="25" spans="2:11" ht="17.149999999999999" customHeight="1" x14ac:dyDescent="0.45">
      <c r="B25" s="15" t="s">
        <v>15</v>
      </c>
      <c r="C25" s="35"/>
      <c r="D25" s="15"/>
      <c r="E25" s="15"/>
      <c r="F25" s="15"/>
      <c r="G25" s="111"/>
      <c r="H25" s="15"/>
      <c r="I25" s="86"/>
      <c r="J25" s="113">
        <f>SUM(D25:I25)</f>
        <v>0</v>
      </c>
      <c r="K25" s="56"/>
    </row>
    <row r="26" spans="2:11" s="5" customFormat="1" ht="17.149999999999999" customHeight="1" x14ac:dyDescent="0.3">
      <c r="B26" s="18" t="s">
        <v>53</v>
      </c>
      <c r="C26" s="42"/>
      <c r="D26" s="18"/>
      <c r="E26" s="18"/>
      <c r="F26" s="18"/>
      <c r="G26" s="114"/>
      <c r="H26" s="18"/>
      <c r="I26" s="115"/>
      <c r="J26" s="116">
        <f>SUM(J24:J25)</f>
        <v>0</v>
      </c>
      <c r="K26" s="56"/>
    </row>
    <row r="27" spans="2:11" ht="17.149999999999999" customHeight="1" x14ac:dyDescent="0.45">
      <c r="B27" s="15" t="s">
        <v>17</v>
      </c>
      <c r="C27" s="35"/>
      <c r="D27" s="15"/>
      <c r="E27" s="15"/>
      <c r="F27" s="15"/>
      <c r="G27" s="15"/>
      <c r="H27" s="15"/>
      <c r="I27" s="117"/>
      <c r="J27" s="113">
        <f>SUM(D27:I27)</f>
        <v>0</v>
      </c>
      <c r="K27" s="56"/>
    </row>
    <row r="28" spans="2:11" s="5" customFormat="1" ht="17.149999999999999" customHeight="1" thickBot="1" x14ac:dyDescent="0.35">
      <c r="B28" s="18" t="s">
        <v>54</v>
      </c>
      <c r="C28" s="42"/>
      <c r="D28" s="18"/>
      <c r="E28" s="18"/>
      <c r="F28" s="18"/>
      <c r="G28" s="18"/>
      <c r="H28" s="18"/>
      <c r="I28" s="115"/>
      <c r="J28" s="118">
        <f>SUM(J26:J27)</f>
        <v>0</v>
      </c>
      <c r="K28" s="56"/>
    </row>
    <row r="29" spans="2:11" x14ac:dyDescent="0.3">
      <c r="C29" s="43"/>
      <c r="D29" s="44"/>
      <c r="E29" s="44"/>
      <c r="F29" s="44"/>
      <c r="G29" s="44"/>
      <c r="H29" s="44"/>
      <c r="I29" s="44"/>
      <c r="J29" s="45"/>
      <c r="K29" s="129"/>
    </row>
    <row r="30" spans="2:11" s="5" customFormat="1" ht="13.5" thickBot="1" x14ac:dyDescent="0.35">
      <c r="B30" s="5" t="s">
        <v>19</v>
      </c>
      <c r="C30" s="46"/>
      <c r="D30" s="47"/>
      <c r="E30" s="47"/>
      <c r="F30" s="47"/>
      <c r="G30" s="47"/>
      <c r="H30" s="47"/>
      <c r="I30" s="47"/>
      <c r="J30" s="48"/>
    </row>
    <row r="31" spans="2:11" ht="14.5" x14ac:dyDescent="0.45">
      <c r="B31" s="68" t="s">
        <v>20</v>
      </c>
      <c r="C31" s="65"/>
      <c r="D31" s="60"/>
      <c r="E31" s="60"/>
      <c r="F31" s="60"/>
      <c r="G31" s="60"/>
      <c r="H31" s="60"/>
      <c r="I31" s="119"/>
      <c r="J31" s="120">
        <f>SUM(J32:J34)</f>
        <v>0</v>
      </c>
    </row>
    <row r="32" spans="2:11" x14ac:dyDescent="0.3">
      <c r="B32" s="69"/>
      <c r="C32" s="64"/>
      <c r="D32" s="61"/>
      <c r="E32" s="61"/>
      <c r="F32" s="61"/>
      <c r="G32" s="61"/>
      <c r="H32" s="61"/>
      <c r="I32" s="121"/>
      <c r="J32" s="122">
        <f>SUM(D32:I32)</f>
        <v>0</v>
      </c>
    </row>
    <row r="33" spans="2:11" x14ac:dyDescent="0.3">
      <c r="B33" s="69"/>
      <c r="C33" s="64"/>
      <c r="D33" s="61"/>
      <c r="E33" s="61"/>
      <c r="F33" s="61"/>
      <c r="G33" s="61"/>
      <c r="H33" s="61"/>
      <c r="I33" s="121"/>
      <c r="J33" s="122">
        <f>SUM(D33:I33)</f>
        <v>0</v>
      </c>
    </row>
    <row r="34" spans="2:11" x14ac:dyDescent="0.3">
      <c r="B34" s="70"/>
      <c r="C34" s="66"/>
      <c r="D34" s="62"/>
      <c r="E34" s="62"/>
      <c r="F34" s="62"/>
      <c r="G34" s="62"/>
      <c r="H34" s="62"/>
      <c r="I34" s="123"/>
      <c r="J34" s="122">
        <f>SUM(D34:I34)</f>
        <v>0</v>
      </c>
    </row>
    <row r="35" spans="2:11" ht="14.5" x14ac:dyDescent="0.45">
      <c r="B35" s="68" t="s">
        <v>21</v>
      </c>
      <c r="C35" s="64"/>
      <c r="D35" s="61"/>
      <c r="E35" s="61"/>
      <c r="F35" s="61"/>
      <c r="G35" s="61"/>
      <c r="H35" s="61"/>
      <c r="I35" s="61"/>
      <c r="J35" s="124">
        <f>SUM(J36:J37)</f>
        <v>0</v>
      </c>
    </row>
    <row r="36" spans="2:11" x14ac:dyDescent="0.3">
      <c r="B36" s="69"/>
      <c r="C36" s="64"/>
      <c r="D36" s="61"/>
      <c r="E36" s="61"/>
      <c r="F36" s="61"/>
      <c r="G36" s="61"/>
      <c r="H36" s="61"/>
      <c r="I36" s="61"/>
      <c r="J36" s="122">
        <f>SUM(D36:I36)</f>
        <v>0</v>
      </c>
    </row>
    <row r="37" spans="2:11" x14ac:dyDescent="0.3">
      <c r="B37" s="71"/>
      <c r="C37" s="64"/>
      <c r="D37" s="61"/>
      <c r="E37" s="61"/>
      <c r="F37" s="61"/>
      <c r="G37" s="61"/>
      <c r="H37" s="61"/>
      <c r="I37" s="61"/>
      <c r="J37" s="125">
        <f>SUM(D37:I37)</f>
        <v>0</v>
      </c>
    </row>
    <row r="38" spans="2:11" ht="14.5" x14ac:dyDescent="0.45">
      <c r="B38" s="72" t="s">
        <v>22</v>
      </c>
      <c r="C38" s="65"/>
      <c r="D38" s="60"/>
      <c r="E38" s="60"/>
      <c r="F38" s="60"/>
      <c r="G38" s="60"/>
      <c r="H38" s="60"/>
      <c r="I38" s="119"/>
      <c r="J38" s="126">
        <f>SUM(J39:J39)</f>
        <v>0</v>
      </c>
    </row>
    <row r="39" spans="2:11" x14ac:dyDescent="0.3">
      <c r="B39" s="69"/>
      <c r="C39" s="64"/>
      <c r="D39" s="61"/>
      <c r="E39" s="61"/>
      <c r="F39" s="61"/>
      <c r="G39" s="61"/>
      <c r="H39" s="61"/>
      <c r="I39" s="121"/>
      <c r="J39" s="122">
        <f>SUM(D39:I39)</f>
        <v>0</v>
      </c>
    </row>
    <row r="40" spans="2:11" ht="13.5" thickBot="1" x14ac:dyDescent="0.35">
      <c r="B40" s="70"/>
      <c r="C40" s="64"/>
      <c r="D40" s="61"/>
      <c r="E40" s="61"/>
      <c r="F40" s="61"/>
      <c r="G40" s="61"/>
      <c r="H40" s="61"/>
      <c r="I40" s="121"/>
      <c r="J40" s="122">
        <f>SUM(D40:I40)</f>
        <v>0</v>
      </c>
    </row>
    <row r="41" spans="2:11" ht="13.5" thickBot="1" x14ac:dyDescent="0.35">
      <c r="B41" s="73" t="s">
        <v>23</v>
      </c>
      <c r="C41" s="67"/>
      <c r="D41" s="127"/>
      <c r="E41" s="127"/>
      <c r="F41" s="127"/>
      <c r="G41" s="127"/>
      <c r="H41" s="127"/>
      <c r="I41" s="127"/>
      <c r="J41" s="128">
        <f>J31+J35+J38</f>
        <v>0</v>
      </c>
    </row>
    <row r="42" spans="2:11" x14ac:dyDescent="0.3">
      <c r="B42" s="75" t="s">
        <v>24</v>
      </c>
      <c r="C42" s="76"/>
      <c r="D42" s="77"/>
      <c r="E42" s="77"/>
      <c r="F42" s="77"/>
      <c r="G42" s="77"/>
      <c r="H42" s="77"/>
      <c r="I42" s="78"/>
      <c r="J42" s="134"/>
    </row>
    <row r="43" spans="2:11" ht="13.5" thickBot="1" x14ac:dyDescent="0.35">
      <c r="B43" s="74" t="s">
        <v>25</v>
      </c>
      <c r="C43" s="49"/>
      <c r="D43" s="50"/>
      <c r="E43" s="50"/>
      <c r="F43" s="50"/>
      <c r="G43" s="50"/>
      <c r="H43" s="50"/>
      <c r="I43" s="79"/>
      <c r="J43" s="135"/>
    </row>
    <row r="44" spans="2:11" ht="17.5" customHeight="1" x14ac:dyDescent="0.3">
      <c r="C44" s="43"/>
      <c r="D44" s="44"/>
      <c r="E44" s="44"/>
      <c r="F44" s="44"/>
      <c r="G44" s="44"/>
      <c r="H44" s="44"/>
      <c r="I44" s="44"/>
      <c r="J44" s="133">
        <f>J43-J42-J41</f>
        <v>0</v>
      </c>
      <c r="K44" s="132" t="s">
        <v>49</v>
      </c>
    </row>
    <row r="45" spans="2:11" x14ac:dyDescent="0.3">
      <c r="C45" s="43"/>
      <c r="D45" s="44"/>
      <c r="E45" s="44"/>
      <c r="F45" s="44"/>
      <c r="G45" s="44"/>
      <c r="H45" s="44"/>
      <c r="I45" s="44"/>
      <c r="J45" s="43"/>
    </row>
  </sheetData>
  <phoneticPr fontId="13" type="noConversion"/>
  <pageMargins left="0.25" right="0.25" top="0.75" bottom="0.75" header="0.3" footer="0.3"/>
  <pageSetup orientation="portrait" r:id="rId1"/>
  <headerFooter alignWithMargins="0">
    <oddHeader>&amp;CPlanilha&amp;RProfa. Edilene Santana Santos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46"/>
  <sheetViews>
    <sheetView tabSelected="1" workbookViewId="0">
      <pane xSplit="3" ySplit="3" topLeftCell="D4" activePane="bottomRight" state="frozen"/>
      <selection pane="topRight" activeCell="D37" sqref="D37"/>
      <selection pane="bottomLeft" activeCell="D37" sqref="D37"/>
      <selection pane="bottomRight" activeCell="P7" sqref="P7"/>
    </sheetView>
  </sheetViews>
  <sheetFormatPr defaultColWidth="9.1796875" defaultRowHeight="13" x14ac:dyDescent="0.3"/>
  <cols>
    <col min="1" max="1" width="5.54296875" style="1" customWidth="1"/>
    <col min="2" max="2" width="26.453125" style="1" customWidth="1"/>
    <col min="3" max="3" width="8.453125" style="4" customWidth="1"/>
    <col min="4" max="4" width="8.453125" style="1" customWidth="1"/>
    <col min="5" max="9" width="9.453125" style="1" customWidth="1"/>
    <col min="10" max="10" width="9.453125" style="4" customWidth="1"/>
    <col min="11" max="16384" width="9.1796875" style="1"/>
  </cols>
  <sheetData>
    <row r="1" spans="2:12" ht="20.25" customHeight="1" thickBot="1" x14ac:dyDescent="0.35">
      <c r="B1" s="13" t="s">
        <v>0</v>
      </c>
      <c r="C1" s="163"/>
      <c r="D1" s="190" t="s">
        <v>1</v>
      </c>
      <c r="E1" s="191"/>
      <c r="F1" s="191"/>
      <c r="G1" s="191"/>
      <c r="H1" s="191"/>
      <c r="I1" s="191"/>
      <c r="J1" s="33"/>
    </row>
    <row r="2" spans="2:12" ht="51" customHeight="1" x14ac:dyDescent="0.3">
      <c r="B2" s="146"/>
      <c r="C2" s="96" t="s">
        <v>26</v>
      </c>
      <c r="D2" s="154" t="s">
        <v>27</v>
      </c>
      <c r="E2" s="14" t="s">
        <v>28</v>
      </c>
      <c r="F2" s="14" t="s">
        <v>29</v>
      </c>
      <c r="G2" s="14" t="s">
        <v>30</v>
      </c>
      <c r="H2" s="14" t="s">
        <v>31</v>
      </c>
      <c r="I2" s="90" t="s">
        <v>32</v>
      </c>
      <c r="J2" s="96" t="s">
        <v>33</v>
      </c>
      <c r="K2" s="2"/>
      <c r="L2" s="2"/>
    </row>
    <row r="3" spans="2:12" ht="17.149999999999999" customHeight="1" x14ac:dyDescent="0.3">
      <c r="B3" s="86"/>
      <c r="C3" s="97"/>
      <c r="D3" s="155">
        <v>1</v>
      </c>
      <c r="E3" s="16">
        <f>1+D3</f>
        <v>2</v>
      </c>
      <c r="F3" s="16">
        <f>1+E3</f>
        <v>3</v>
      </c>
      <c r="G3" s="16">
        <f>1+F3</f>
        <v>4</v>
      </c>
      <c r="H3" s="16">
        <f>1+G3</f>
        <v>5</v>
      </c>
      <c r="I3" s="34">
        <f>1+H3</f>
        <v>6</v>
      </c>
      <c r="J3" s="97"/>
    </row>
    <row r="4" spans="2:12" ht="17.149999999999999" customHeight="1" x14ac:dyDescent="0.3">
      <c r="B4" s="147" t="s">
        <v>4</v>
      </c>
      <c r="C4" s="164"/>
      <c r="D4" s="156"/>
      <c r="E4" s="57"/>
      <c r="F4" s="57"/>
      <c r="G4" s="57"/>
      <c r="H4" s="57"/>
      <c r="I4" s="91"/>
      <c r="J4" s="98">
        <f>SUM(C4:I4)</f>
        <v>0</v>
      </c>
    </row>
    <row r="5" spans="2:12" ht="17.149999999999999" customHeight="1" x14ac:dyDescent="0.3">
      <c r="B5" s="148" t="s">
        <v>5</v>
      </c>
      <c r="C5" s="165"/>
      <c r="D5" s="157"/>
      <c r="E5" s="58"/>
      <c r="F5" s="58"/>
      <c r="G5" s="58"/>
      <c r="H5" s="58"/>
      <c r="I5" s="92"/>
      <c r="J5" s="98">
        <f t="shared" ref="J5:J19" si="0">SUM(C5:I5)</f>
        <v>0</v>
      </c>
    </row>
    <row r="6" spans="2:12" ht="17.149999999999999" customHeight="1" x14ac:dyDescent="0.3">
      <c r="B6" s="149" t="s">
        <v>34</v>
      </c>
      <c r="C6" s="166"/>
      <c r="D6" s="158">
        <v>100000</v>
      </c>
      <c r="E6" s="59">
        <v>-80000</v>
      </c>
      <c r="F6" s="59">
        <v>-10000</v>
      </c>
      <c r="G6" s="59">
        <v>15000</v>
      </c>
      <c r="H6" s="59">
        <v>-5000</v>
      </c>
      <c r="I6" s="93">
        <v>-2000</v>
      </c>
      <c r="J6" s="98">
        <f t="shared" si="0"/>
        <v>18000</v>
      </c>
    </row>
    <row r="7" spans="2:12" ht="17.149999999999999" customHeight="1" x14ac:dyDescent="0.3">
      <c r="B7" s="149" t="s">
        <v>35</v>
      </c>
      <c r="C7" s="166"/>
      <c r="D7" s="159"/>
      <c r="E7" s="55"/>
      <c r="F7" s="55">
        <v>20000</v>
      </c>
      <c r="G7" s="55">
        <v>-10000</v>
      </c>
      <c r="H7" s="55"/>
      <c r="I7" s="87"/>
      <c r="J7" s="98">
        <f t="shared" si="0"/>
        <v>10000</v>
      </c>
    </row>
    <row r="8" spans="2:12" ht="17.149999999999999" customHeight="1" x14ac:dyDescent="0.3">
      <c r="B8" s="86"/>
      <c r="C8" s="166"/>
      <c r="D8" s="159"/>
      <c r="E8" s="55"/>
      <c r="F8" s="55"/>
      <c r="G8" s="55"/>
      <c r="H8" s="55"/>
      <c r="I8" s="87"/>
      <c r="J8" s="98">
        <f t="shared" si="0"/>
        <v>0</v>
      </c>
    </row>
    <row r="9" spans="2:12" ht="17.149999999999999" customHeight="1" x14ac:dyDescent="0.3">
      <c r="B9" s="150" t="s">
        <v>6</v>
      </c>
      <c r="C9" s="167"/>
      <c r="D9" s="159"/>
      <c r="E9" s="55"/>
      <c r="F9" s="55"/>
      <c r="G9" s="55"/>
      <c r="H9" s="55"/>
      <c r="I9" s="87"/>
      <c r="J9" s="98">
        <f t="shared" si="0"/>
        <v>0</v>
      </c>
    </row>
    <row r="10" spans="2:12" ht="17.149999999999999" customHeight="1" x14ac:dyDescent="0.3">
      <c r="B10" s="149" t="s">
        <v>36</v>
      </c>
      <c r="C10" s="166"/>
      <c r="D10" s="159"/>
      <c r="E10" s="55">
        <v>80000</v>
      </c>
      <c r="F10" s="55"/>
      <c r="G10" s="55"/>
      <c r="H10" s="55"/>
      <c r="I10" s="87"/>
      <c r="J10" s="98">
        <f t="shared" si="0"/>
        <v>80000</v>
      </c>
    </row>
    <row r="11" spans="2:12" ht="17.149999999999999" customHeight="1" x14ac:dyDescent="0.3">
      <c r="B11" s="86"/>
      <c r="C11" s="168"/>
      <c r="D11" s="159"/>
      <c r="E11" s="55"/>
      <c r="F11" s="55"/>
      <c r="G11" s="55"/>
      <c r="H11" s="55"/>
      <c r="I11" s="87"/>
      <c r="J11" s="98">
        <f t="shared" si="0"/>
        <v>0</v>
      </c>
    </row>
    <row r="12" spans="2:12" ht="17.149999999999999" customHeight="1" x14ac:dyDescent="0.3">
      <c r="B12" s="151" t="s">
        <v>7</v>
      </c>
      <c r="C12" s="98">
        <f>SUM(C4:C11)</f>
        <v>0</v>
      </c>
      <c r="D12" s="160">
        <f t="shared" ref="D12:I12" si="1">SUM(D4:D11)</f>
        <v>100000</v>
      </c>
      <c r="E12" s="19">
        <f t="shared" si="1"/>
        <v>0</v>
      </c>
      <c r="F12" s="19">
        <f t="shared" si="1"/>
        <v>10000</v>
      </c>
      <c r="G12" s="19">
        <f t="shared" si="1"/>
        <v>5000</v>
      </c>
      <c r="H12" s="19">
        <f t="shared" si="1"/>
        <v>-5000</v>
      </c>
      <c r="I12" s="94">
        <f t="shared" si="1"/>
        <v>-2000</v>
      </c>
      <c r="J12" s="98">
        <f>SUM(J6:J11)</f>
        <v>108000</v>
      </c>
    </row>
    <row r="13" spans="2:12" ht="17.149999999999999" customHeight="1" x14ac:dyDescent="0.3">
      <c r="B13" s="152" t="s">
        <v>8</v>
      </c>
      <c r="C13" s="169"/>
      <c r="D13" s="156"/>
      <c r="E13" s="57"/>
      <c r="F13" s="57"/>
      <c r="G13" s="57"/>
      <c r="H13" s="57"/>
      <c r="I13" s="91"/>
      <c r="J13" s="98">
        <f t="shared" si="0"/>
        <v>0</v>
      </c>
    </row>
    <row r="14" spans="2:12" ht="17.149999999999999" customHeight="1" x14ac:dyDescent="0.3">
      <c r="B14" s="148" t="s">
        <v>9</v>
      </c>
      <c r="C14" s="170"/>
      <c r="D14" s="157"/>
      <c r="E14" s="58"/>
      <c r="F14" s="58"/>
      <c r="G14" s="58"/>
      <c r="H14" s="58"/>
      <c r="I14" s="92"/>
      <c r="J14" s="98">
        <f t="shared" si="0"/>
        <v>0</v>
      </c>
    </row>
    <row r="15" spans="2:12" ht="17.149999999999999" customHeight="1" x14ac:dyDescent="0.3">
      <c r="B15" s="149" t="s">
        <v>37</v>
      </c>
      <c r="C15" s="166"/>
      <c r="D15" s="159"/>
      <c r="E15" s="55"/>
      <c r="F15" s="55">
        <v>10000</v>
      </c>
      <c r="G15" s="55"/>
      <c r="H15" s="55">
        <v>-5000</v>
      </c>
      <c r="I15" s="87"/>
      <c r="J15" s="98">
        <f t="shared" si="0"/>
        <v>5000</v>
      </c>
    </row>
    <row r="16" spans="2:12" ht="17.149999999999999" customHeight="1" x14ac:dyDescent="0.3">
      <c r="B16" s="149"/>
      <c r="C16" s="166"/>
      <c r="D16" s="159"/>
      <c r="E16" s="55"/>
      <c r="F16" s="55"/>
      <c r="G16" s="55"/>
      <c r="H16" s="55"/>
      <c r="I16" s="87"/>
      <c r="J16" s="98">
        <f t="shared" si="0"/>
        <v>0</v>
      </c>
    </row>
    <row r="17" spans="2:13" ht="17.149999999999999" customHeight="1" x14ac:dyDescent="0.3">
      <c r="B17" s="150" t="s">
        <v>10</v>
      </c>
      <c r="C17" s="166"/>
      <c r="D17" s="159"/>
      <c r="E17" s="55"/>
      <c r="F17" s="55"/>
      <c r="G17" s="55"/>
      <c r="H17" s="55"/>
      <c r="I17" s="87"/>
      <c r="J17" s="98">
        <f t="shared" si="0"/>
        <v>0</v>
      </c>
    </row>
    <row r="18" spans="2:13" ht="17.149999999999999" customHeight="1" x14ac:dyDescent="0.3">
      <c r="B18" s="149" t="s">
        <v>38</v>
      </c>
      <c r="C18" s="166"/>
      <c r="D18" s="159">
        <v>100000</v>
      </c>
      <c r="E18" s="55"/>
      <c r="F18" s="55"/>
      <c r="G18" s="55"/>
      <c r="H18" s="55"/>
      <c r="I18" s="87"/>
      <c r="J18" s="98">
        <f t="shared" si="0"/>
        <v>100000</v>
      </c>
    </row>
    <row r="19" spans="2:13" ht="17.149999999999999" customHeight="1" x14ac:dyDescent="0.3">
      <c r="B19" s="149" t="s">
        <v>39</v>
      </c>
      <c r="C19" s="166"/>
      <c r="D19" s="161">
        <f t="shared" ref="D19:I19" si="2">D29</f>
        <v>0</v>
      </c>
      <c r="E19" s="142">
        <f t="shared" si="2"/>
        <v>0</v>
      </c>
      <c r="F19" s="142">
        <f t="shared" si="2"/>
        <v>0</v>
      </c>
      <c r="G19" s="142">
        <f t="shared" si="2"/>
        <v>5000</v>
      </c>
      <c r="H19" s="142">
        <f t="shared" si="2"/>
        <v>0</v>
      </c>
      <c r="I19" s="143">
        <f t="shared" si="2"/>
        <v>-2000</v>
      </c>
      <c r="J19" s="98">
        <f t="shared" si="0"/>
        <v>3000</v>
      </c>
      <c r="K19" s="140">
        <f>J29/J20</f>
        <v>2.7777777777777776E-2</v>
      </c>
      <c r="L19" s="141" t="s">
        <v>40</v>
      </c>
    </row>
    <row r="20" spans="2:13" s="5" customFormat="1" ht="17.149999999999999" customHeight="1" thickBot="1" x14ac:dyDescent="0.35">
      <c r="B20" s="153" t="s">
        <v>11</v>
      </c>
      <c r="C20" s="171">
        <f>SUM(C13:C19)</f>
        <v>0</v>
      </c>
      <c r="D20" s="162">
        <f t="shared" ref="D20:I20" si="3">SUM(D13:D19)</f>
        <v>100000</v>
      </c>
      <c r="E20" s="20">
        <f t="shared" si="3"/>
        <v>0</v>
      </c>
      <c r="F20" s="20">
        <f t="shared" si="3"/>
        <v>10000</v>
      </c>
      <c r="G20" s="20">
        <f t="shared" si="3"/>
        <v>5000</v>
      </c>
      <c r="H20" s="20">
        <f t="shared" si="3"/>
        <v>-5000</v>
      </c>
      <c r="I20" s="95">
        <f t="shared" si="3"/>
        <v>-2000</v>
      </c>
      <c r="J20" s="99">
        <f>SUM(J13:J19)</f>
        <v>108000</v>
      </c>
    </row>
    <row r="21" spans="2:13" ht="9.75" customHeight="1" x14ac:dyDescent="0.3">
      <c r="B21" s="6"/>
      <c r="C21" s="7"/>
      <c r="D21" s="8"/>
      <c r="E21" s="8"/>
      <c r="F21" s="8"/>
      <c r="G21" s="8"/>
      <c r="H21" s="8"/>
      <c r="I21" s="8"/>
      <c r="J21" s="9"/>
    </row>
    <row r="22" spans="2:13" ht="17.149999999999999" customHeight="1" x14ac:dyDescent="0.3">
      <c r="B22" s="52" t="s">
        <v>12</v>
      </c>
      <c r="C22" s="137">
        <f>C12-C20</f>
        <v>0</v>
      </c>
      <c r="D22" s="137">
        <f t="shared" ref="D22:J22" si="4">D12-D20</f>
        <v>0</v>
      </c>
      <c r="E22" s="137">
        <f t="shared" si="4"/>
        <v>0</v>
      </c>
      <c r="F22" s="137">
        <f t="shared" si="4"/>
        <v>0</v>
      </c>
      <c r="G22" s="137">
        <f t="shared" si="4"/>
        <v>0</v>
      </c>
      <c r="H22" s="137">
        <f t="shared" si="4"/>
        <v>0</v>
      </c>
      <c r="I22" s="137">
        <f t="shared" si="4"/>
        <v>0</v>
      </c>
      <c r="J22" s="137">
        <f t="shared" si="4"/>
        <v>0</v>
      </c>
    </row>
    <row r="23" spans="2:13" ht="12.75" customHeight="1" thickBot="1" x14ac:dyDescent="0.35">
      <c r="B23" s="10"/>
      <c r="C23" s="11"/>
      <c r="D23" s="12"/>
      <c r="E23" s="12"/>
      <c r="F23" s="12"/>
      <c r="G23" s="12"/>
      <c r="H23" s="12"/>
      <c r="I23" s="12"/>
      <c r="J23" s="89"/>
    </row>
    <row r="24" spans="2:13" ht="26" x14ac:dyDescent="0.3">
      <c r="B24" s="13" t="s">
        <v>41</v>
      </c>
      <c r="C24" s="172"/>
      <c r="D24" s="15"/>
      <c r="E24" s="15"/>
      <c r="F24" s="15"/>
      <c r="G24" s="15"/>
      <c r="H24" s="15"/>
      <c r="I24" s="86"/>
      <c r="J24" s="110"/>
    </row>
    <row r="25" spans="2:13" ht="17.149999999999999" customHeight="1" x14ac:dyDescent="0.3">
      <c r="B25" s="86" t="s">
        <v>14</v>
      </c>
      <c r="C25" s="172"/>
      <c r="D25" s="55"/>
      <c r="E25" s="55"/>
      <c r="F25" s="55"/>
      <c r="G25" s="55">
        <v>15000</v>
      </c>
      <c r="H25" s="55"/>
      <c r="I25" s="87"/>
      <c r="J25" s="112">
        <f>SUM(D25:I25)</f>
        <v>15000</v>
      </c>
    </row>
    <row r="26" spans="2:13" ht="17.149999999999999" customHeight="1" x14ac:dyDescent="0.3">
      <c r="B26" s="86" t="s">
        <v>15</v>
      </c>
      <c r="C26" s="172"/>
      <c r="D26" s="55"/>
      <c r="E26" s="55"/>
      <c r="F26" s="55"/>
      <c r="G26" s="55">
        <v>-10000</v>
      </c>
      <c r="H26" s="55"/>
      <c r="I26" s="87"/>
      <c r="J26" s="112">
        <f>SUM(D26:I26)</f>
        <v>-10000</v>
      </c>
    </row>
    <row r="27" spans="2:13" s="5" customFormat="1" ht="17.149999999999999" customHeight="1" x14ac:dyDescent="0.3">
      <c r="B27" s="115" t="s">
        <v>16</v>
      </c>
      <c r="C27" s="173"/>
      <c r="D27" s="54"/>
      <c r="E27" s="54"/>
      <c r="F27" s="54"/>
      <c r="G27" s="54"/>
      <c r="H27" s="54"/>
      <c r="I27" s="88"/>
      <c r="J27" s="116">
        <f>SUM(J25:J26)</f>
        <v>5000</v>
      </c>
      <c r="K27" s="140">
        <f>J27/J25</f>
        <v>0.33333333333333331</v>
      </c>
      <c r="L27" s="141" t="s">
        <v>42</v>
      </c>
      <c r="M27" s="141"/>
    </row>
    <row r="28" spans="2:13" ht="17.149999999999999" customHeight="1" x14ac:dyDescent="0.45">
      <c r="B28" s="174" t="s">
        <v>17</v>
      </c>
      <c r="C28" s="172"/>
      <c r="D28" s="55"/>
      <c r="E28" s="55"/>
      <c r="F28" s="55"/>
      <c r="G28" s="55"/>
      <c r="H28" s="55"/>
      <c r="I28" s="87">
        <v>-2000</v>
      </c>
      <c r="J28" s="113">
        <f>SUM(D28:I28)</f>
        <v>-2000</v>
      </c>
      <c r="K28" s="131"/>
      <c r="L28" s="131"/>
      <c r="M28" s="131"/>
    </row>
    <row r="29" spans="2:13" s="5" customFormat="1" ht="17.149999999999999" customHeight="1" thickBot="1" x14ac:dyDescent="0.35">
      <c r="B29" s="115" t="s">
        <v>18</v>
      </c>
      <c r="C29" s="173"/>
      <c r="D29" s="144">
        <f t="shared" ref="D29:I29" si="5">SUM(D25:D28)</f>
        <v>0</v>
      </c>
      <c r="E29" s="144">
        <f t="shared" si="5"/>
        <v>0</v>
      </c>
      <c r="F29" s="144">
        <f t="shared" si="5"/>
        <v>0</v>
      </c>
      <c r="G29" s="144">
        <f t="shared" si="5"/>
        <v>5000</v>
      </c>
      <c r="H29" s="144">
        <f t="shared" si="5"/>
        <v>0</v>
      </c>
      <c r="I29" s="145">
        <f t="shared" si="5"/>
        <v>-2000</v>
      </c>
      <c r="J29" s="118">
        <f>SUM(J27:J28)</f>
        <v>3000</v>
      </c>
      <c r="K29" s="140">
        <f>J29/J25</f>
        <v>0.2</v>
      </c>
      <c r="L29" s="141" t="s">
        <v>43</v>
      </c>
      <c r="M29" s="141"/>
    </row>
    <row r="30" spans="2:13" x14ac:dyDescent="0.3">
      <c r="J30" s="3"/>
      <c r="K30" s="131"/>
      <c r="L30" s="131"/>
      <c r="M30" s="131"/>
    </row>
    <row r="31" spans="2:13" x14ac:dyDescent="0.3">
      <c r="J31" s="31"/>
      <c r="K31" s="131"/>
      <c r="L31" s="131"/>
      <c r="M31" s="131"/>
    </row>
    <row r="32" spans="2:13" s="5" customFormat="1" ht="13.5" thickBot="1" x14ac:dyDescent="0.35">
      <c r="B32" s="5" t="s">
        <v>19</v>
      </c>
      <c r="C32" s="21"/>
      <c r="J32" s="32"/>
      <c r="K32" s="141"/>
      <c r="L32" s="141"/>
      <c r="M32" s="141"/>
    </row>
    <row r="33" spans="2:13" ht="14.5" x14ac:dyDescent="0.45">
      <c r="B33" s="28" t="s">
        <v>20</v>
      </c>
      <c r="C33" s="23"/>
      <c r="D33" s="60"/>
      <c r="E33" s="60"/>
      <c r="F33" s="60"/>
      <c r="G33" s="60"/>
      <c r="H33" s="60"/>
      <c r="I33" s="60"/>
      <c r="J33" s="80">
        <f>SUM(J34:J36)</f>
        <v>-2000</v>
      </c>
      <c r="K33" s="131" t="s">
        <v>50</v>
      </c>
      <c r="L33" s="131"/>
      <c r="M33" s="131"/>
    </row>
    <row r="34" spans="2:13" x14ac:dyDescent="0.3">
      <c r="B34" s="30" t="s">
        <v>44</v>
      </c>
      <c r="D34" s="61"/>
      <c r="E34" s="61"/>
      <c r="F34" s="61"/>
      <c r="G34" s="61">
        <f>G6</f>
        <v>15000</v>
      </c>
      <c r="H34" s="61"/>
      <c r="I34" s="61"/>
      <c r="J34" s="81">
        <f>SUM(D34:I34)</f>
        <v>15000</v>
      </c>
    </row>
    <row r="35" spans="2:13" x14ac:dyDescent="0.3">
      <c r="B35" s="30" t="s">
        <v>45</v>
      </c>
      <c r="D35" s="61"/>
      <c r="E35" s="61"/>
      <c r="F35" s="61">
        <f>F6</f>
        <v>-10000</v>
      </c>
      <c r="G35" s="61"/>
      <c r="H35" s="61">
        <f>H6</f>
        <v>-5000</v>
      </c>
      <c r="I35" s="61"/>
      <c r="J35" s="81">
        <f>SUM(D35:I35)</f>
        <v>-15000</v>
      </c>
    </row>
    <row r="36" spans="2:13" x14ac:dyDescent="0.3">
      <c r="B36" s="30" t="s">
        <v>46</v>
      </c>
      <c r="D36" s="61"/>
      <c r="E36" s="61"/>
      <c r="F36" s="61"/>
      <c r="G36" s="61"/>
      <c r="H36" s="61"/>
      <c r="I36" s="61">
        <v>-2000</v>
      </c>
      <c r="J36" s="81">
        <f>SUM(D36:I36)</f>
        <v>-2000</v>
      </c>
    </row>
    <row r="37" spans="2:13" ht="14.5" x14ac:dyDescent="0.45">
      <c r="B37" s="28" t="s">
        <v>21</v>
      </c>
      <c r="C37" s="23"/>
      <c r="D37" s="60"/>
      <c r="E37" s="60"/>
      <c r="F37" s="60"/>
      <c r="G37" s="60"/>
      <c r="H37" s="60"/>
      <c r="I37" s="60"/>
      <c r="J37" s="82">
        <f>SUM(J38:J39)</f>
        <v>-80000</v>
      </c>
    </row>
    <row r="38" spans="2:13" x14ac:dyDescent="0.3">
      <c r="B38" s="29" t="s">
        <v>47</v>
      </c>
      <c r="D38" s="61"/>
      <c r="E38" s="61">
        <f>E6</f>
        <v>-80000</v>
      </c>
      <c r="F38" s="61"/>
      <c r="G38" s="61"/>
      <c r="H38" s="61"/>
      <c r="I38" s="61"/>
      <c r="J38" s="81">
        <f>SUM(D38:I38)</f>
        <v>-80000</v>
      </c>
    </row>
    <row r="39" spans="2:13" x14ac:dyDescent="0.3">
      <c r="B39" s="53"/>
      <c r="C39" s="25"/>
      <c r="D39" s="62"/>
      <c r="E39" s="62"/>
      <c r="F39" s="62"/>
      <c r="G39" s="62"/>
      <c r="H39" s="62"/>
      <c r="I39" s="62"/>
      <c r="J39" s="83"/>
    </row>
    <row r="40" spans="2:13" ht="14.5" x14ac:dyDescent="0.45">
      <c r="B40" s="5" t="s">
        <v>22</v>
      </c>
      <c r="D40" s="61"/>
      <c r="E40" s="61"/>
      <c r="F40" s="61"/>
      <c r="G40" s="61"/>
      <c r="H40" s="61"/>
      <c r="I40" s="61"/>
      <c r="J40" s="84">
        <f>SUM(J41:J41)</f>
        <v>100000</v>
      </c>
    </row>
    <row r="41" spans="2:13" x14ac:dyDescent="0.3">
      <c r="B41" s="30" t="s">
        <v>48</v>
      </c>
      <c r="D41" s="61">
        <f>D6</f>
        <v>100000</v>
      </c>
      <c r="E41" s="61"/>
      <c r="F41" s="61"/>
      <c r="G41" s="61"/>
      <c r="H41" s="61"/>
      <c r="I41" s="61"/>
      <c r="J41" s="81">
        <f>SUM(D41:I41)</f>
        <v>100000</v>
      </c>
    </row>
    <row r="42" spans="2:13" x14ac:dyDescent="0.3">
      <c r="B42" s="30"/>
      <c r="D42" s="61"/>
      <c r="E42" s="61"/>
      <c r="F42" s="61"/>
      <c r="G42" s="61"/>
      <c r="H42" s="61"/>
      <c r="I42" s="61"/>
      <c r="J42" s="81"/>
    </row>
    <row r="43" spans="2:13" x14ac:dyDescent="0.3">
      <c r="B43" s="26" t="s">
        <v>23</v>
      </c>
      <c r="C43" s="27"/>
      <c r="D43" s="63"/>
      <c r="E43" s="63"/>
      <c r="F43" s="63"/>
      <c r="G43" s="63"/>
      <c r="H43" s="63"/>
      <c r="I43" s="63"/>
      <c r="J43" s="85">
        <f>J33+J37+J40</f>
        <v>18000</v>
      </c>
    </row>
    <row r="44" spans="2:13" x14ac:dyDescent="0.3">
      <c r="B44" s="22" t="s">
        <v>24</v>
      </c>
      <c r="C44" s="23"/>
      <c r="D44" s="60"/>
      <c r="E44" s="60"/>
      <c r="F44" s="60"/>
      <c r="G44" s="60"/>
      <c r="H44" s="60"/>
      <c r="I44" s="60"/>
      <c r="J44" s="136">
        <v>0</v>
      </c>
    </row>
    <row r="45" spans="2:13" ht="13.5" thickBot="1" x14ac:dyDescent="0.35">
      <c r="B45" s="24" t="s">
        <v>25</v>
      </c>
      <c r="C45" s="25"/>
      <c r="D45" s="62"/>
      <c r="E45" s="62"/>
      <c r="F45" s="62"/>
      <c r="G45" s="62"/>
      <c r="H45" s="62"/>
      <c r="I45" s="62"/>
      <c r="J45" s="135">
        <v>18000</v>
      </c>
    </row>
    <row r="46" spans="2:13" ht="16" customHeight="1" x14ac:dyDescent="0.3">
      <c r="J46" s="138">
        <f>J45-J44-J43</f>
        <v>0</v>
      </c>
      <c r="K46" s="132" t="s">
        <v>49</v>
      </c>
    </row>
  </sheetData>
  <mergeCells count="1">
    <mergeCell ref="D1:I1"/>
  </mergeCells>
  <phoneticPr fontId="13" type="noConversion"/>
  <pageMargins left="0.35" right="0.25" top="0.984251969" bottom="0.984251969" header="0.49212598499999999" footer="0.49212598499999999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 Slides Plan</vt:lpstr>
      <vt:lpstr>Ex Slides Resp</vt:lpstr>
    </vt:vector>
  </TitlesOfParts>
  <Manager/>
  <Company>Dartmouth College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Clyde.Stickney</dc:creator>
  <cp:keywords/>
  <dc:description/>
  <cp:lastModifiedBy>Edilene Santana Santos</cp:lastModifiedBy>
  <cp:revision/>
  <dcterms:created xsi:type="dcterms:W3CDTF">2003-07-11T17:44:32Z</dcterms:created>
  <dcterms:modified xsi:type="dcterms:W3CDTF">2026-06-27T12:57:10Z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4f7750d-9cdf-4ba7-80aa-2c6ffdc35229_Enabled">
    <vt:lpwstr>true</vt:lpwstr>
  </property>
  <property fmtid="{D5CDD505-2E9C-101B-9397-08002B2CF9AE}" pid="3" name="MSIP_Label_84f7750d-9cdf-4ba7-80aa-2c6ffdc35229_SetDate">
    <vt:lpwstr>2026-06-27T12:57:10Z</vt:lpwstr>
  </property>
  <property fmtid="{D5CDD505-2E9C-101B-9397-08002B2CF9AE}" pid="4" name="MSIP_Label_84f7750d-9cdf-4ba7-80aa-2c6ffdc35229_Method">
    <vt:lpwstr>Standard</vt:lpwstr>
  </property>
  <property fmtid="{D5CDD505-2E9C-101B-9397-08002B2CF9AE}" pid="5" name="MSIP_Label_84f7750d-9cdf-4ba7-80aa-2c6ffdc35229_Name">
    <vt:lpwstr>Nível - 1</vt:lpwstr>
  </property>
  <property fmtid="{D5CDD505-2E9C-101B-9397-08002B2CF9AE}" pid="6" name="MSIP_Label_84f7750d-9cdf-4ba7-80aa-2c6ffdc35229_SiteId">
    <vt:lpwstr>79f6b639-ab12-4280-8077-bdbeef869b33</vt:lpwstr>
  </property>
  <property fmtid="{D5CDD505-2E9C-101B-9397-08002B2CF9AE}" pid="7" name="MSIP_Label_84f7750d-9cdf-4ba7-80aa-2c6ffdc35229_ActionId">
    <vt:lpwstr>27763006-1842-4d9b-b8e7-6a2bf0e4f0bf</vt:lpwstr>
  </property>
  <property fmtid="{D5CDD505-2E9C-101B-9397-08002B2CF9AE}" pid="8" name="MSIP_Label_84f7750d-9cdf-4ba7-80aa-2c6ffdc35229_ContentBits">
    <vt:lpwstr>0</vt:lpwstr>
  </property>
  <property fmtid="{D5CDD505-2E9C-101B-9397-08002B2CF9AE}" pid="9" name="MSIP_Label_84f7750d-9cdf-4ba7-80aa-2c6ffdc35229_Tag">
    <vt:lpwstr>10, 3, 0, 1</vt:lpwstr>
  </property>
</Properties>
</file>