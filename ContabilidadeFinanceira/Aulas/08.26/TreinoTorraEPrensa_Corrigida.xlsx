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 Resposta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<sst xmlns="http://schemas.openxmlformats.org/spreadsheetml/2006/main" count="47" uniqueCount="45">
  <si>
    <t xml:space="preserve">Transações, por Número e Descrição</t>
  </si>
  <si>
    <t xml:space="preserve">Balanço Patrimonial</t>
  </si>
  <si>
    <t xml:space="preserve">Balanço Inicial</t>
  </si>
  <si>
    <t xml:space="preserve">Balanço Final</t>
  </si>
  <si>
    <t xml:space="preserve">ATIVO</t>
  </si>
  <si>
    <t xml:space="preserve">Ativo Circulante</t>
  </si>
  <si>
    <t xml:space="preserve">Caixa</t>
  </si>
  <si>
    <t xml:space="preserve">Estoque</t>
  </si>
  <si>
    <t xml:space="preserve">Despesas Antecipadas</t>
  </si>
  <si>
    <t xml:space="preserve">Contas a Receber</t>
  </si>
  <si>
    <t xml:space="preserve">Ativo Não Circulante</t>
  </si>
  <si>
    <t xml:space="preserve">Imobilizado</t>
  </si>
  <si>
    <t xml:space="preserve">  Total do Ativo</t>
  </si>
  <si>
    <t xml:space="preserve">PASSIVO E PATRIM. LÍQUIDO </t>
  </si>
  <si>
    <t xml:space="preserve">Passivo Circulante:</t>
  </si>
  <si>
    <t xml:space="preserve">Contas a pagar</t>
  </si>
  <si>
    <t xml:space="preserve">Adiantamento de Clientes</t>
  </si>
  <si>
    <t xml:space="preserve">Dividendos a Pagar</t>
  </si>
  <si>
    <t xml:space="preserve">Passivo Não Circulante:</t>
  </si>
  <si>
    <t xml:space="preserve">Patrimônio Líquido:</t>
  </si>
  <si>
    <t xml:space="preserve">Capital Social</t>
  </si>
  <si>
    <t xml:space="preserve">Lucro Acum</t>
  </si>
  <si>
    <t xml:space="preserve">Total Passivo e Patrim. Líquido</t>
  </si>
  <si>
    <t xml:space="preserve">Diferença, se houver</t>
  </si>
  <si>
    <t xml:space="preserve">Demonstração do Resultado</t>
  </si>
  <si>
    <t xml:space="preserve">Mês 1</t>
  </si>
  <si>
    <t xml:space="preserve">Receita de Vendas</t>
  </si>
  <si>
    <t xml:space="preserve">(-) Custos das Mercadorias Vendidas</t>
  </si>
  <si>
    <t xml:space="preserve">     (=) Lucro Bruto</t>
  </si>
  <si>
    <t xml:space="preserve">(-) Despesas Operacionais</t>
  </si>
  <si>
    <t xml:space="preserve">     (=) Lucro EBIT e Lucro Líquido</t>
  </si>
  <si>
    <t xml:space="preserve">FLUXO DE CAIXA</t>
  </si>
  <si>
    <t xml:space="preserve">OPERAÇÕES</t>
  </si>
  <si>
    <t xml:space="preserve">Pagamentos a Fornecedores</t>
  </si>
  <si>
    <t xml:space="preserve">Despesas Operacionais</t>
  </si>
  <si>
    <t xml:space="preserve">Recebimento de Clientes</t>
  </si>
  <si>
    <t xml:space="preserve">INVESTIMENTOS</t>
  </si>
  <si>
    <t xml:space="preserve">FINANCIAMENTOS</t>
  </si>
  <si>
    <t xml:space="preserve">Ingresso de Capital</t>
  </si>
  <si>
    <t xml:space="preserve">Pagamento de Dividendos</t>
  </si>
  <si>
    <t xml:space="preserve">VARIAÇÃO NO CAIXA</t>
  </si>
  <si>
    <t xml:space="preserve">    Saldo inicial</t>
  </si>
  <si>
    <t xml:space="preserve">    Saldo final</t>
  </si>
  <si>
    <t xml:space="preserve">Check caixa DFC x BP (deve dar 0)</t>
  </si>
  <si>
    <t xml:space="preserve">Check lucro DRE x PL (deve dar 0)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</si>
</sst>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;\(#,##0\);\-"/>
    <numFmt numFmtId="166" formatCode="#,##0"/>
  </numFmts>
  <fonts count="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000000"/>
      <name val="Arial"/>
      <family val="2"/>
      <charset val="1"/>
    </font>
    <font>
      <sz val="10"/>
      <name val="Arial"/>
      <family val="2"/>
      <charset val="1"/>
    </font>
    <font>
      <sz val="10"/>
      <color rgb="FF0000FF"/>
      <name val="Arial"/>
      <family val="2"/>
      <charset val="1"/>
    </font>
  </fonts>
  <fills count="6">
    <fill>
      <patternFill patternType="none"/>
    </fill>
    <fill>
      <patternFill patternType="gray125"/>
    </fill>
    <fill>
      <patternFill patternType="solid">
        <fgColor rgb="FFD9D9D9"/>
        <bgColor rgb="FFF2F2F2"/>
      </patternFill>
    </fill>
    <fill>
      <patternFill patternType="solid">
        <fgColor rgb="FFFFF2CC"/>
        <bgColor rgb="FFFFF2A8"/>
      </patternFill>
    </fill>
    <fill>
      <patternFill patternType="solid">
        <fgColor rgb="FFFFF2A8"/>
        <bgColor rgb="FFFFF2CC"/>
      </patternFill>
    </fill>
    <fill>
      <patternFill patternType="solid">
        <fgColor rgb="FFF2F2F2"/>
        <bgColor rgb="FFFFF2CC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/>
      <right/>
      <top style="thin"/>
      <bottom style="double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4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6" fillId="5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6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5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2A8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1:M59"/>
  <sheetViews>
    <sheetView showFormulas="false" showGridLines="true" showRowColHeaders="true" showZeros="true" rightToLeft="false" tabSelected="true" showOutlineSymbols="true" defaultGridColor="true" view="normal" topLeftCell="A22" colorId="64" zoomScale="75" zoomScaleNormal="75" zoomScalePageLayoutView="100" workbookViewId="0">
      <pane xSplit="3" ySplit="0" topLeftCell="D22" activePane="topRight" state="frozen"/>
      <selection pane="topLeft" activeCell="A22" activeCellId="0" sqref="A22"/>
      <selection pane="topRight" activeCell="M59" activeCellId="0" sqref="M59"/>
    </sheetView>
  </sheetViews>
  <sheetFormatPr defaultColWidth="8.83203125" defaultRowHeight="15" customHeight="false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35"/>
    <col collapsed="false" customWidth="true" hidden="false" outlineLevel="0" max="13" min="3" style="0" width="13"/>
  </cols>
  <sheetData>
    <row r="1" customFormat="false" ht="15" hidden="false" customHeight="false" outlineLevel="0" collapsed="false">
      <c r="B1" s="1"/>
      <c r="D1" s="2" t="s">
        <v>0</v>
      </c>
    </row>
    <row r="2" customFormat="false" ht="15" hidden="false" customHeight="false" outlineLevel="0" collapsed="false">
      <c r="B2" s="3" t="s">
        <v>1</v>
      </c>
      <c r="C2" s="4" t="s">
        <v>2</v>
      </c>
      <c r="D2" s="4" t="n">
        <v>1</v>
      </c>
      <c r="E2" s="4" t="n">
        <v>2</v>
      </c>
      <c r="F2" s="4" t="n">
        <v>3</v>
      </c>
      <c r="G2" s="4" t="n">
        <v>4</v>
      </c>
      <c r="H2" s="4" t="n">
        <v>5</v>
      </c>
      <c r="I2" s="4" t="n">
        <v>6</v>
      </c>
      <c r="J2" s="4" t="n">
        <v>7</v>
      </c>
      <c r="K2" s="4" t="n">
        <v>8</v>
      </c>
      <c r="L2" s="4" t="n">
        <v>9</v>
      </c>
      <c r="M2" s="4" t="s">
        <v>3</v>
      </c>
    </row>
    <row r="3" customFormat="false" ht="15" hidden="false" customHeight="false" outlineLevel="0" collapsed="false">
      <c r="B3" s="2" t="s">
        <v>4</v>
      </c>
      <c r="C3" s="5"/>
      <c r="D3" s="5"/>
      <c r="E3" s="5"/>
      <c r="F3" s="5"/>
      <c r="G3" s="5"/>
      <c r="H3" s="5"/>
      <c r="I3" s="5"/>
      <c r="J3" s="5"/>
      <c r="K3" s="5"/>
      <c r="L3" s="5"/>
      <c r="M3" s="6"/>
    </row>
    <row r="4" customFormat="false" ht="15" hidden="false" customHeight="false" outlineLevel="0" collapsed="false">
      <c r="B4" s="2" t="s">
        <v>5</v>
      </c>
      <c r="C4" s="7" t="n">
        <f aca="false">SUM(C5:C9)</f>
        <v>0</v>
      </c>
      <c r="D4" s="7" t="n">
        <f aca="false">SUM(D5:D9)</f>
        <v>100000</v>
      </c>
      <c r="E4" s="7" t="n">
        <f aca="false">SUM(E5:E9)</f>
        <v>-30000</v>
      </c>
      <c r="F4" s="7" t="n">
        <f aca="false">SUM(F5:F9)</f>
        <v>42000</v>
      </c>
      <c r="G4" s="7" t="n">
        <f aca="false">SUM(G5:G9)</f>
        <v>-6000</v>
      </c>
      <c r="H4" s="7" t="n">
        <f aca="false">SUM(H5:H9)</f>
        <v>36000</v>
      </c>
      <c r="I4" s="7" t="n">
        <f aca="false">SUM(I5:I9)</f>
        <v>9000</v>
      </c>
      <c r="J4" s="7" t="n">
        <f aca="false">SUM(J5:J9)</f>
        <v>-11000</v>
      </c>
      <c r="K4" s="7" t="n">
        <f aca="false">SUM(K5:K9)</f>
        <v>-14000</v>
      </c>
      <c r="L4" s="7" t="n">
        <f aca="false">SUM(L5:L9)</f>
        <v>0</v>
      </c>
      <c r="M4" s="8" t="n">
        <f aca="false">SUM(M5:M9)</f>
        <v>126000</v>
      </c>
    </row>
    <row r="5" customFormat="false" ht="15" hidden="false" customHeight="false" outlineLevel="0" collapsed="false">
      <c r="B5" s="9" t="s">
        <v>6</v>
      </c>
      <c r="C5" s="10"/>
      <c r="D5" s="10" t="n">
        <v>100000</v>
      </c>
      <c r="E5" s="10" t="n">
        <v>-30000</v>
      </c>
      <c r="F5" s="10" t="n">
        <v>-28000</v>
      </c>
      <c r="G5" s="11" t="n">
        <v>-18000</v>
      </c>
      <c r="H5" s="10" t="n">
        <v>50000</v>
      </c>
      <c r="I5" s="11" t="n">
        <v>9000</v>
      </c>
      <c r="J5" s="10" t="n">
        <v>-11000</v>
      </c>
      <c r="K5" s="10" t="n">
        <v>-14000</v>
      </c>
      <c r="L5" s="10"/>
      <c r="M5" s="6" t="n">
        <f aca="false">C5+SUM(D5:L5)</f>
        <v>58000</v>
      </c>
    </row>
    <row r="6" customFormat="false" ht="15" hidden="false" customHeight="false" outlineLevel="0" collapsed="false">
      <c r="B6" s="9" t="s">
        <v>7</v>
      </c>
      <c r="C6" s="10"/>
      <c r="D6" s="10"/>
      <c r="E6" s="10"/>
      <c r="F6" s="10" t="n">
        <v>70000</v>
      </c>
      <c r="G6" s="10"/>
      <c r="H6" s="10" t="n">
        <f aca="false">-F6*60%</f>
        <v>-42000</v>
      </c>
      <c r="I6" s="10"/>
      <c r="J6" s="10"/>
      <c r="K6" s="10"/>
      <c r="L6" s="10"/>
      <c r="M6" s="6" t="n">
        <f aca="false">C6+SUM(D6:L6)</f>
        <v>28000</v>
      </c>
    </row>
    <row r="7" customFormat="false" ht="15" hidden="false" customHeight="false" outlineLevel="0" collapsed="false">
      <c r="B7" s="12" t="s">
        <v>8</v>
      </c>
      <c r="C7" s="10"/>
      <c r="D7" s="10"/>
      <c r="E7" s="10"/>
      <c r="F7" s="10"/>
      <c r="G7" s="11" t="n">
        <v>12000</v>
      </c>
      <c r="H7" s="10"/>
      <c r="I7" s="10"/>
      <c r="J7" s="10"/>
      <c r="K7" s="10"/>
      <c r="L7" s="10"/>
      <c r="M7" s="6" t="n">
        <f aca="false">C7+SUM(D7:L7)</f>
        <v>12000</v>
      </c>
    </row>
    <row r="8" customFormat="false" ht="15" hidden="false" customHeight="false" outlineLevel="0" collapsed="false">
      <c r="B8" s="9" t="s">
        <v>9</v>
      </c>
      <c r="C8" s="10"/>
      <c r="D8" s="10"/>
      <c r="E8" s="10"/>
      <c r="F8" s="10"/>
      <c r="G8" s="10"/>
      <c r="H8" s="10" t="n">
        <v>28000</v>
      </c>
      <c r="I8" s="10"/>
      <c r="J8" s="10"/>
      <c r="K8" s="10"/>
      <c r="L8" s="10"/>
      <c r="M8" s="6" t="n">
        <f aca="false">C8+SUM(D8:L8)</f>
        <v>28000</v>
      </c>
    </row>
    <row r="9" customFormat="false" ht="15" hidden="false" customHeight="false" outlineLevel="0" collapsed="false">
      <c r="B9" s="12"/>
      <c r="C9" s="10"/>
      <c r="D9" s="10"/>
      <c r="E9" s="10"/>
      <c r="F9" s="10"/>
      <c r="G9" s="10"/>
      <c r="H9" s="10"/>
      <c r="I9" s="11"/>
      <c r="J9" s="10"/>
      <c r="K9" s="10"/>
      <c r="L9" s="10"/>
      <c r="M9" s="6" t="n">
        <f aca="false">C9+SUM(D9:L9)</f>
        <v>0</v>
      </c>
    </row>
    <row r="10" customFormat="false" ht="15" hidden="false" customHeight="false" outlineLevel="0" collapsed="false">
      <c r="B10" s="2" t="s">
        <v>10</v>
      </c>
      <c r="C10" s="7" t="n">
        <f aca="false">SUM(C11:C13)</f>
        <v>0</v>
      </c>
      <c r="D10" s="7" t="n">
        <f aca="false">SUM(D11:D13)</f>
        <v>0</v>
      </c>
      <c r="E10" s="7" t="n">
        <f aca="false">SUM(E11:E13)</f>
        <v>30000</v>
      </c>
      <c r="F10" s="7" t="n">
        <f aca="false">SUM(F11:F13)</f>
        <v>0</v>
      </c>
      <c r="G10" s="7" t="n">
        <f aca="false">SUM(G11:G13)</f>
        <v>0</v>
      </c>
      <c r="H10" s="7" t="n">
        <f aca="false">SUM(H11:H13)</f>
        <v>0</v>
      </c>
      <c r="I10" s="7" t="n">
        <f aca="false">SUM(I11:I13)</f>
        <v>0</v>
      </c>
      <c r="J10" s="7" t="n">
        <f aca="false">SUM(J11:J13)</f>
        <v>0</v>
      </c>
      <c r="K10" s="7" t="n">
        <f aca="false">SUM(K11:K13)</f>
        <v>0</v>
      </c>
      <c r="L10" s="7" t="n">
        <f aca="false">SUM(L11:L13)</f>
        <v>0</v>
      </c>
      <c r="M10" s="8" t="n">
        <f aca="false">SUM(M11:M13)</f>
        <v>30000</v>
      </c>
    </row>
    <row r="11" customFormat="false" ht="15" hidden="false" customHeight="false" outlineLevel="0" collapsed="false">
      <c r="B11" s="9" t="s">
        <v>11</v>
      </c>
      <c r="C11" s="10"/>
      <c r="D11" s="10"/>
      <c r="E11" s="10" t="n">
        <v>30000</v>
      </c>
      <c r="F11" s="10"/>
      <c r="G11" s="10"/>
      <c r="H11" s="10"/>
      <c r="I11" s="10"/>
      <c r="J11" s="10"/>
      <c r="K11" s="10"/>
      <c r="L11" s="10"/>
      <c r="M11" s="6" t="n">
        <f aca="false">C11+SUM(D11:L11)</f>
        <v>30000</v>
      </c>
    </row>
    <row r="12" customFormat="false" ht="15" hidden="false" customHeight="false" outlineLevel="0" collapsed="false">
      <c r="B12" s="1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6" t="n">
        <f aca="false">C12+SUM(D12:L12)</f>
        <v>0</v>
      </c>
    </row>
    <row r="13" customFormat="false" ht="15" hidden="false" customHeight="false" outlineLevel="0" collapsed="false">
      <c r="B13" s="1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6" t="n">
        <f aca="false">C13+SUM(D13:L13)</f>
        <v>0</v>
      </c>
    </row>
    <row r="14" customFormat="false" ht="15.75" hidden="false" customHeight="true" outlineLevel="0" collapsed="false">
      <c r="B14" s="2" t="s">
        <v>12</v>
      </c>
      <c r="C14" s="13" t="n">
        <f aca="false">C4+C10</f>
        <v>0</v>
      </c>
      <c r="D14" s="13" t="n">
        <f aca="false">D4+D10</f>
        <v>100000</v>
      </c>
      <c r="E14" s="13" t="n">
        <f aca="false">E4+E10</f>
        <v>0</v>
      </c>
      <c r="F14" s="13" t="n">
        <f aca="false">F4+F10</f>
        <v>42000</v>
      </c>
      <c r="G14" s="13" t="n">
        <f aca="false">G4+G10</f>
        <v>-6000</v>
      </c>
      <c r="H14" s="13" t="n">
        <f aca="false">H4+H10</f>
        <v>36000</v>
      </c>
      <c r="I14" s="13" t="n">
        <f aca="false">I4+I10</f>
        <v>9000</v>
      </c>
      <c r="J14" s="13" t="n">
        <f aca="false">J4+J10</f>
        <v>-11000</v>
      </c>
      <c r="K14" s="13" t="n">
        <f aca="false">K4+K10</f>
        <v>-14000</v>
      </c>
      <c r="L14" s="13" t="n">
        <f aca="false">L4+L10</f>
        <v>0</v>
      </c>
      <c r="M14" s="14" t="n">
        <f aca="false">M4+M10</f>
        <v>156000</v>
      </c>
    </row>
    <row r="15" customFormat="false" ht="15.75" hidden="false" customHeight="true" outlineLevel="0" collapsed="false">
      <c r="B15" s="2" t="s">
        <v>13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6"/>
    </row>
    <row r="16" customFormat="false" ht="15" hidden="false" customHeight="false" outlineLevel="0" collapsed="false">
      <c r="B16" s="2" t="s">
        <v>14</v>
      </c>
      <c r="C16" s="7" t="n">
        <f aca="false">SUM(C17:C19)</f>
        <v>0</v>
      </c>
      <c r="D16" s="7" t="n">
        <f aca="false">SUM(D17:D19)</f>
        <v>0</v>
      </c>
      <c r="E16" s="7" t="n">
        <f aca="false">SUM(E17:E19)</f>
        <v>0</v>
      </c>
      <c r="F16" s="7" t="n">
        <f aca="false">SUM(F17:F19)</f>
        <v>42000</v>
      </c>
      <c r="G16" s="7" t="n">
        <f aca="false">SUM(G17:G19)</f>
        <v>0</v>
      </c>
      <c r="H16" s="7" t="n">
        <f aca="false">SUM(H17:H19)</f>
        <v>0</v>
      </c>
      <c r="I16" s="7" t="n">
        <f aca="false">SUM(I17:I19)</f>
        <v>9000</v>
      </c>
      <c r="J16" s="7" t="n">
        <f aca="false">SUM(J17:J19)</f>
        <v>0</v>
      </c>
      <c r="K16" s="7" t="n">
        <f aca="false">SUM(K17:K19)</f>
        <v>-14000</v>
      </c>
      <c r="L16" s="7" t="n">
        <f aca="false">SUM(L17:L19)</f>
        <v>7000</v>
      </c>
      <c r="M16" s="8" t="n">
        <f aca="false">SUM(M17:M19)</f>
        <v>44000</v>
      </c>
    </row>
    <row r="17" customFormat="false" ht="15" hidden="false" customHeight="false" outlineLevel="0" collapsed="false">
      <c r="B17" s="9" t="s">
        <v>15</v>
      </c>
      <c r="C17" s="10"/>
      <c r="D17" s="10"/>
      <c r="E17" s="10"/>
      <c r="F17" s="10" t="n">
        <v>42000</v>
      </c>
      <c r="G17" s="10"/>
      <c r="H17" s="10"/>
      <c r="I17" s="10"/>
      <c r="J17" s="10"/>
      <c r="K17" s="10" t="n">
        <v>-14000</v>
      </c>
      <c r="L17" s="10"/>
      <c r="M17" s="6" t="n">
        <f aca="false">C17+SUM(D17:L17)</f>
        <v>28000</v>
      </c>
    </row>
    <row r="18" customFormat="false" ht="15" hidden="false" customHeight="false" outlineLevel="0" collapsed="false">
      <c r="B18" s="12" t="s">
        <v>16</v>
      </c>
      <c r="C18" s="10"/>
      <c r="D18" s="10"/>
      <c r="E18" s="10"/>
      <c r="F18" s="10"/>
      <c r="G18" s="10"/>
      <c r="H18" s="10"/>
      <c r="I18" s="10" t="n">
        <v>9000</v>
      </c>
      <c r="J18" s="10"/>
      <c r="K18" s="10"/>
      <c r="L18" s="10"/>
      <c r="M18" s="6" t="n">
        <f aca="false">C18+SUM(D18:L18)</f>
        <v>9000</v>
      </c>
    </row>
    <row r="19" customFormat="false" ht="15" hidden="false" customHeight="false" outlineLevel="0" collapsed="false">
      <c r="B19" s="9" t="s">
        <v>17</v>
      </c>
      <c r="C19" s="10"/>
      <c r="D19" s="10"/>
      <c r="E19" s="10"/>
      <c r="F19" s="10"/>
      <c r="G19" s="10"/>
      <c r="H19" s="10"/>
      <c r="I19" s="10"/>
      <c r="J19" s="10"/>
      <c r="K19" s="10"/>
      <c r="L19" s="10" t="n">
        <v>7000</v>
      </c>
      <c r="M19" s="6" t="n">
        <f aca="false">C19+SUM(D19:L19)</f>
        <v>7000</v>
      </c>
    </row>
    <row r="20" customFormat="false" ht="15" hidden="false" customHeight="false" outlineLevel="0" collapsed="false">
      <c r="B20" s="2" t="s">
        <v>18</v>
      </c>
      <c r="C20" s="7" t="n">
        <f aca="false">SUM(C21:C22)</f>
        <v>0</v>
      </c>
      <c r="D20" s="7" t="n">
        <f aca="false">SUM(D21:D22)</f>
        <v>0</v>
      </c>
      <c r="E20" s="7" t="n">
        <f aca="false">SUM(E21:E22)</f>
        <v>0</v>
      </c>
      <c r="F20" s="7" t="n">
        <f aca="false">SUM(F21:F22)</f>
        <v>0</v>
      </c>
      <c r="G20" s="7" t="n">
        <f aca="false">SUM(G21:G22)</f>
        <v>0</v>
      </c>
      <c r="H20" s="7" t="n">
        <f aca="false">SUM(H21:H22)</f>
        <v>0</v>
      </c>
      <c r="I20" s="7" t="n">
        <f aca="false">SUM(I21:I22)</f>
        <v>0</v>
      </c>
      <c r="J20" s="7" t="n">
        <f aca="false">SUM(J21:J22)</f>
        <v>0</v>
      </c>
      <c r="K20" s="7" t="n">
        <f aca="false">SUM(K21:K22)</f>
        <v>0</v>
      </c>
      <c r="L20" s="7" t="n">
        <f aca="false">SUM(L21:L22)</f>
        <v>0</v>
      </c>
      <c r="M20" s="8" t="n">
        <f aca="false">SUM(M21:M22)</f>
        <v>0</v>
      </c>
    </row>
    <row r="21" customFormat="false" ht="15" hidden="false" customHeight="false" outlineLevel="0" collapsed="false">
      <c r="B21" s="1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6" t="n">
        <f aca="false">C21+SUM(D21:L21)</f>
        <v>0</v>
      </c>
    </row>
    <row r="22" customFormat="false" ht="15" hidden="false" customHeight="false" outlineLevel="0" collapsed="false">
      <c r="B22" s="1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6" t="n">
        <f aca="false">C22+SUM(D22:L22)</f>
        <v>0</v>
      </c>
    </row>
    <row r="23" customFormat="false" ht="15" hidden="false" customHeight="false" outlineLevel="0" collapsed="false">
      <c r="B23" s="2" t="s">
        <v>19</v>
      </c>
      <c r="C23" s="7" t="n">
        <f aca="false">SUM(C24:C26)</f>
        <v>0</v>
      </c>
      <c r="D23" s="7" t="n">
        <f aca="false">SUM(D24:D26)</f>
        <v>100000</v>
      </c>
      <c r="E23" s="7" t="n">
        <f aca="false">SUM(E24:E26)</f>
        <v>0</v>
      </c>
      <c r="F23" s="7" t="n">
        <f aca="false">SUM(F24:F26)</f>
        <v>0</v>
      </c>
      <c r="G23" s="7" t="n">
        <f aca="false">SUM(G24:G26)</f>
        <v>-6000</v>
      </c>
      <c r="H23" s="7" t="n">
        <f aca="false">SUM(H24:H26)</f>
        <v>36000</v>
      </c>
      <c r="I23" s="7" t="n">
        <f aca="false">SUM(I24:I26)</f>
        <v>0</v>
      </c>
      <c r="J23" s="7" t="n">
        <f aca="false">SUM(J24:J26)</f>
        <v>-11000</v>
      </c>
      <c r="K23" s="7" t="n">
        <f aca="false">SUM(K24:K26)</f>
        <v>0</v>
      </c>
      <c r="L23" s="7" t="n">
        <f aca="false">SUM(L24:L26)</f>
        <v>-7000</v>
      </c>
      <c r="M23" s="8" t="n">
        <f aca="false">SUM(M24:M26)</f>
        <v>112000</v>
      </c>
    </row>
    <row r="24" customFormat="false" ht="15" hidden="false" customHeight="false" outlineLevel="0" collapsed="false">
      <c r="B24" s="9" t="s">
        <v>20</v>
      </c>
      <c r="C24" s="10"/>
      <c r="D24" s="10" t="n">
        <v>100000</v>
      </c>
      <c r="E24" s="10"/>
      <c r="F24" s="10"/>
      <c r="G24" s="10"/>
      <c r="H24" s="10"/>
      <c r="I24" s="10"/>
      <c r="J24" s="10"/>
      <c r="K24" s="10"/>
      <c r="L24" s="10"/>
      <c r="M24" s="6" t="n">
        <f aca="false">C24+SUM(D24:L24)</f>
        <v>100000</v>
      </c>
    </row>
    <row r="25" customFormat="false" ht="15" hidden="false" customHeight="false" outlineLevel="0" collapsed="false">
      <c r="B25" s="9" t="s">
        <v>21</v>
      </c>
      <c r="C25" s="10"/>
      <c r="D25" s="10"/>
      <c r="E25" s="10"/>
      <c r="F25" s="10"/>
      <c r="G25" s="11" t="n">
        <v>-6000</v>
      </c>
      <c r="H25" s="10" t="n">
        <v>36000</v>
      </c>
      <c r="I25" s="10"/>
      <c r="J25" s="10" t="n">
        <f aca="false">J5</f>
        <v>-11000</v>
      </c>
      <c r="K25" s="10"/>
      <c r="L25" s="10" t="n">
        <v>-7000</v>
      </c>
      <c r="M25" s="6" t="n">
        <f aca="false">C25+SUM(D25:L25)</f>
        <v>12000</v>
      </c>
    </row>
    <row r="26" customFormat="false" ht="15" hidden="false" customHeight="false" outlineLevel="0" collapsed="false">
      <c r="B26" s="1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6" t="n">
        <f aca="false">C26+SUM(D26:L26)</f>
        <v>0</v>
      </c>
    </row>
    <row r="27" customFormat="false" ht="15.75" hidden="false" customHeight="true" outlineLevel="0" collapsed="false">
      <c r="B27" s="2" t="s">
        <v>22</v>
      </c>
      <c r="C27" s="13" t="n">
        <f aca="false">C16+C20+C23</f>
        <v>0</v>
      </c>
      <c r="D27" s="13" t="n">
        <f aca="false">D16+D20+D23</f>
        <v>100000</v>
      </c>
      <c r="E27" s="13" t="n">
        <f aca="false">E16+E20+E23</f>
        <v>0</v>
      </c>
      <c r="F27" s="13" t="n">
        <f aca="false">F16+F20+F23</f>
        <v>42000</v>
      </c>
      <c r="G27" s="13" t="n">
        <f aca="false">G16+G20+G23</f>
        <v>-6000</v>
      </c>
      <c r="H27" s="13" t="n">
        <f aca="false">H16+H20+H23</f>
        <v>36000</v>
      </c>
      <c r="I27" s="13" t="n">
        <f aca="false">I16+I20+I23</f>
        <v>9000</v>
      </c>
      <c r="J27" s="13" t="n">
        <f aca="false">J16+J20+J23</f>
        <v>-11000</v>
      </c>
      <c r="K27" s="13" t="n">
        <f aca="false">K16+K20+K23</f>
        <v>-14000</v>
      </c>
      <c r="L27" s="13" t="n">
        <f aca="false">L16+L20+L23</f>
        <v>0</v>
      </c>
      <c r="M27" s="14" t="n">
        <f aca="false">M16+M20+M23</f>
        <v>156000</v>
      </c>
    </row>
    <row r="28" customFormat="false" ht="15.75" hidden="false" customHeight="true" outlineLevel="0" collapsed="false">
      <c r="B28" s="1"/>
      <c r="C28" s="5"/>
      <c r="D28" s="5"/>
      <c r="E28" s="5"/>
      <c r="F28" s="5"/>
      <c r="G28" s="5"/>
      <c r="H28" s="5"/>
      <c r="I28" s="5"/>
      <c r="J28" s="5"/>
      <c r="K28" s="5"/>
      <c r="L28" s="5"/>
      <c r="M28" s="6"/>
    </row>
    <row r="29" customFormat="false" ht="15" hidden="false" customHeight="false" outlineLevel="0" collapsed="false">
      <c r="B29" s="2" t="s">
        <v>23</v>
      </c>
      <c r="C29" s="7" t="n">
        <f aca="false">C14-C27</f>
        <v>0</v>
      </c>
      <c r="D29" s="7" t="n">
        <f aca="false">D14-D27</f>
        <v>0</v>
      </c>
      <c r="E29" s="7" t="n">
        <f aca="false">E14-E27</f>
        <v>0</v>
      </c>
      <c r="F29" s="7" t="n">
        <f aca="false">F14-F27</f>
        <v>0</v>
      </c>
      <c r="G29" s="7" t="n">
        <f aca="false">G14-G27</f>
        <v>0</v>
      </c>
      <c r="H29" s="7" t="n">
        <f aca="false">H14-H27</f>
        <v>0</v>
      </c>
      <c r="I29" s="7" t="n">
        <f aca="false">I14-I27</f>
        <v>0</v>
      </c>
      <c r="J29" s="7" t="n">
        <f aca="false">J14-J27</f>
        <v>0</v>
      </c>
      <c r="K29" s="7" t="n">
        <f aca="false">K14-K27</f>
        <v>0</v>
      </c>
      <c r="L29" s="7" t="n">
        <f aca="false">L14-L27</f>
        <v>0</v>
      </c>
      <c r="M29" s="8" t="n">
        <f aca="false">M14-M27</f>
        <v>0</v>
      </c>
    </row>
    <row r="30" customFormat="false" ht="15" hidden="false" customHeight="false" outlineLevel="0" collapsed="false">
      <c r="B30" s="1"/>
      <c r="C30" s="5"/>
      <c r="D30" s="5"/>
      <c r="E30" s="5"/>
      <c r="F30" s="5"/>
      <c r="G30" s="5"/>
      <c r="H30" s="5"/>
      <c r="I30" s="5"/>
      <c r="J30" s="5"/>
      <c r="K30" s="5"/>
      <c r="L30" s="5"/>
      <c r="M30" s="6"/>
    </row>
    <row r="31" customFormat="false" ht="15" hidden="false" customHeight="false" outlineLevel="0" collapsed="false">
      <c r="B31" s="1"/>
      <c r="C31" s="5"/>
      <c r="D31" s="5"/>
      <c r="E31" s="5"/>
      <c r="F31" s="5"/>
      <c r="G31" s="5"/>
      <c r="H31" s="5"/>
      <c r="I31" s="5"/>
      <c r="J31" s="5"/>
      <c r="K31" s="5"/>
      <c r="L31" s="5"/>
      <c r="M31" s="6"/>
    </row>
    <row r="32" customFormat="false" ht="15" hidden="false" customHeight="false" outlineLevel="0" collapsed="false">
      <c r="B32" s="3" t="s">
        <v>24</v>
      </c>
      <c r="C32" s="15"/>
      <c r="D32" s="15" t="n">
        <v>1</v>
      </c>
      <c r="E32" s="15" t="n">
        <v>2</v>
      </c>
      <c r="F32" s="15" t="n">
        <v>3</v>
      </c>
      <c r="G32" s="15" t="n">
        <v>4</v>
      </c>
      <c r="H32" s="15" t="n">
        <v>5</v>
      </c>
      <c r="I32" s="15" t="n">
        <v>6</v>
      </c>
      <c r="J32" s="15" t="n">
        <v>7</v>
      </c>
      <c r="K32" s="15" t="n">
        <v>8</v>
      </c>
      <c r="L32" s="15" t="n">
        <v>9</v>
      </c>
      <c r="M32" s="15" t="s">
        <v>25</v>
      </c>
    </row>
    <row r="33" customFormat="false" ht="15" hidden="false" customHeight="false" outlineLevel="0" collapsed="false">
      <c r="B33" s="1" t="s">
        <v>26</v>
      </c>
      <c r="C33" s="5"/>
      <c r="D33" s="10"/>
      <c r="E33" s="10"/>
      <c r="F33" s="10"/>
      <c r="G33" s="10"/>
      <c r="H33" s="10" t="n">
        <f aca="false">H8+H5</f>
        <v>78000</v>
      </c>
      <c r="I33" s="10"/>
      <c r="J33" s="10"/>
      <c r="K33" s="10"/>
      <c r="L33" s="10"/>
      <c r="M33" s="6" t="n">
        <f aca="false">SUM(D33:L33)</f>
        <v>78000</v>
      </c>
    </row>
    <row r="34" customFormat="false" ht="15" hidden="false" customHeight="false" outlineLevel="0" collapsed="false">
      <c r="B34" s="1" t="s">
        <v>27</v>
      </c>
      <c r="C34" s="5"/>
      <c r="D34" s="10"/>
      <c r="E34" s="10"/>
      <c r="F34" s="10"/>
      <c r="G34" s="10"/>
      <c r="H34" s="10" t="n">
        <f aca="false">H6</f>
        <v>-42000</v>
      </c>
      <c r="I34" s="10"/>
      <c r="J34" s="10"/>
      <c r="K34" s="10"/>
      <c r="L34" s="10"/>
      <c r="M34" s="6" t="n">
        <f aca="false">SUM(D34:L34)</f>
        <v>-42000</v>
      </c>
    </row>
    <row r="35" customFormat="false" ht="15" hidden="false" customHeight="false" outlineLevel="0" collapsed="false">
      <c r="B35" s="2" t="s">
        <v>28</v>
      </c>
      <c r="C35" s="7"/>
      <c r="D35" s="7" t="n">
        <f aca="false">SUM(D33:D34)</f>
        <v>0</v>
      </c>
      <c r="E35" s="7" t="n">
        <f aca="false">SUM(E33:E34)</f>
        <v>0</v>
      </c>
      <c r="F35" s="7" t="n">
        <f aca="false">SUM(F33:F34)</f>
        <v>0</v>
      </c>
      <c r="G35" s="7" t="n">
        <f aca="false">SUM(G33:G34)</f>
        <v>0</v>
      </c>
      <c r="H35" s="7" t="n">
        <f aca="false">SUM(H33:H34)</f>
        <v>36000</v>
      </c>
      <c r="I35" s="7" t="n">
        <f aca="false">SUM(I33:I34)</f>
        <v>0</v>
      </c>
      <c r="J35" s="7" t="n">
        <f aca="false">SUM(J33:J34)</f>
        <v>0</v>
      </c>
      <c r="K35" s="7" t="n">
        <f aca="false">SUM(K33:K34)</f>
        <v>0</v>
      </c>
      <c r="L35" s="7" t="n">
        <f aca="false">SUM(L33:L34)</f>
        <v>0</v>
      </c>
      <c r="M35" s="8" t="n">
        <f aca="false">SUM(M33:M34)</f>
        <v>36000</v>
      </c>
    </row>
    <row r="36" customFormat="false" ht="15" hidden="false" customHeight="false" outlineLevel="0" collapsed="false">
      <c r="B36" s="1" t="s">
        <v>29</v>
      </c>
      <c r="C36" s="5"/>
      <c r="D36" s="10"/>
      <c r="E36" s="10"/>
      <c r="F36" s="10"/>
      <c r="G36" s="11" t="n">
        <v>-6000</v>
      </c>
      <c r="H36" s="10"/>
      <c r="I36" s="10"/>
      <c r="J36" s="10" t="n">
        <f aca="false">J25</f>
        <v>-11000</v>
      </c>
      <c r="K36" s="10"/>
      <c r="L36" s="10"/>
      <c r="M36" s="6" t="n">
        <f aca="false">SUM(D36:L36)</f>
        <v>-17000</v>
      </c>
    </row>
    <row r="37" customFormat="false" ht="15" hidden="false" customHeight="false" outlineLevel="0" collapsed="false">
      <c r="B37" s="1"/>
      <c r="C37" s="5"/>
      <c r="D37" s="10"/>
      <c r="E37" s="10"/>
      <c r="F37" s="10"/>
      <c r="G37" s="10"/>
      <c r="H37" s="10"/>
      <c r="I37" s="10"/>
      <c r="J37" s="10"/>
      <c r="K37" s="10"/>
      <c r="L37" s="10"/>
      <c r="M37" s="6" t="n">
        <f aca="false">SUM(D37:L37)</f>
        <v>0</v>
      </c>
    </row>
    <row r="38" customFormat="false" ht="15.75" hidden="false" customHeight="true" outlineLevel="0" collapsed="false">
      <c r="B38" s="2" t="s">
        <v>30</v>
      </c>
      <c r="C38" s="13"/>
      <c r="D38" s="13" t="n">
        <f aca="false">D35+SUM(D36:D37)</f>
        <v>0</v>
      </c>
      <c r="E38" s="13" t="n">
        <f aca="false">E35+SUM(E36:E37)</f>
        <v>0</v>
      </c>
      <c r="F38" s="13" t="n">
        <f aca="false">F35+SUM(F36:F37)</f>
        <v>0</v>
      </c>
      <c r="G38" s="13" t="n">
        <f aca="false">G35+SUM(G36:G37)</f>
        <v>-6000</v>
      </c>
      <c r="H38" s="13" t="n">
        <f aca="false">H35+SUM(H36:H37)</f>
        <v>36000</v>
      </c>
      <c r="I38" s="13" t="n">
        <f aca="false">I35+SUM(I36:I37)</f>
        <v>0</v>
      </c>
      <c r="J38" s="13" t="n">
        <f aca="false">J35+SUM(J36:J37)</f>
        <v>-11000</v>
      </c>
      <c r="K38" s="13" t="n">
        <f aca="false">K35+SUM(K36:K37)</f>
        <v>0</v>
      </c>
      <c r="L38" s="13" t="n">
        <f aca="false">L35+SUM(L36:L37)</f>
        <v>0</v>
      </c>
      <c r="M38" s="14" t="n">
        <f aca="false">M35+SUM(M36:M37)</f>
        <v>19000</v>
      </c>
    </row>
    <row r="39" customFormat="false" ht="15.75" hidden="false" customHeight="true" outlineLevel="0" collapsed="false">
      <c r="B39" s="1"/>
      <c r="C39" s="5"/>
      <c r="D39" s="5"/>
      <c r="E39" s="5"/>
      <c r="F39" s="5"/>
      <c r="G39" s="5"/>
      <c r="H39" s="5"/>
      <c r="I39" s="5"/>
      <c r="J39" s="5"/>
      <c r="K39" s="5"/>
      <c r="L39" s="5"/>
      <c r="M39" s="6"/>
    </row>
    <row r="40" customFormat="false" ht="15" hidden="false" customHeight="false" outlineLevel="0" collapsed="false">
      <c r="B40" s="1"/>
      <c r="C40" s="5"/>
      <c r="D40" s="5"/>
      <c r="E40" s="5"/>
      <c r="F40" s="5"/>
      <c r="G40" s="5"/>
      <c r="H40" s="5"/>
      <c r="I40" s="5"/>
      <c r="J40" s="5"/>
      <c r="K40" s="5"/>
      <c r="L40" s="5"/>
      <c r="M40" s="6"/>
    </row>
    <row r="41" customFormat="false" ht="15" hidden="false" customHeight="false" outlineLevel="0" collapsed="false">
      <c r="B41" s="3" t="s">
        <v>31</v>
      </c>
      <c r="C41" s="15"/>
      <c r="D41" s="15" t="n">
        <v>1</v>
      </c>
      <c r="E41" s="15" t="n">
        <v>2</v>
      </c>
      <c r="F41" s="15" t="n">
        <v>3</v>
      </c>
      <c r="G41" s="15" t="n">
        <v>4</v>
      </c>
      <c r="H41" s="15" t="n">
        <v>5</v>
      </c>
      <c r="I41" s="15" t="n">
        <v>6</v>
      </c>
      <c r="J41" s="15" t="n">
        <v>7</v>
      </c>
      <c r="K41" s="15" t="n">
        <v>8</v>
      </c>
      <c r="L41" s="15" t="n">
        <v>9</v>
      </c>
      <c r="M41" s="15" t="s">
        <v>25</v>
      </c>
    </row>
    <row r="42" customFormat="false" ht="15" hidden="false" customHeight="false" outlineLevel="0" collapsed="false">
      <c r="B42" s="2" t="s">
        <v>32</v>
      </c>
      <c r="C42" s="7"/>
      <c r="D42" s="7" t="n">
        <f aca="false">SUM(D43:D45)</f>
        <v>0</v>
      </c>
      <c r="E42" s="7" t="n">
        <f aca="false">SUM(E43:E45)</f>
        <v>0</v>
      </c>
      <c r="F42" s="7" t="n">
        <f aca="false">SUM(F43:F45)</f>
        <v>-28000</v>
      </c>
      <c r="G42" s="7" t="n">
        <f aca="false">SUM(G43:G45)</f>
        <v>-18000</v>
      </c>
      <c r="H42" s="7" t="n">
        <f aca="false">SUM(H43:H45)</f>
        <v>50000</v>
      </c>
      <c r="I42" s="7" t="n">
        <f aca="false">SUM(I43:I45)</f>
        <v>9000</v>
      </c>
      <c r="J42" s="7" t="n">
        <f aca="false">SUM(J43:J45)</f>
        <v>-11000</v>
      </c>
      <c r="K42" s="7" t="n">
        <f aca="false">SUM(K43:K45)</f>
        <v>-14000</v>
      </c>
      <c r="L42" s="7" t="n">
        <f aca="false">SUM(L43:L45)</f>
        <v>0</v>
      </c>
      <c r="M42" s="8" t="n">
        <f aca="false">SUM(M43:M45)</f>
        <v>-12000</v>
      </c>
    </row>
    <row r="43" customFormat="false" ht="15" hidden="false" customHeight="false" outlineLevel="0" collapsed="false">
      <c r="B43" s="9" t="s">
        <v>33</v>
      </c>
      <c r="C43" s="5"/>
      <c r="D43" s="10"/>
      <c r="E43" s="10"/>
      <c r="F43" s="10" t="n">
        <v>-28000</v>
      </c>
      <c r="G43" s="10"/>
      <c r="H43" s="10"/>
      <c r="I43" s="10"/>
      <c r="J43" s="10"/>
      <c r="K43" s="11" t="n">
        <v>-14000</v>
      </c>
      <c r="L43" s="10"/>
      <c r="M43" s="6" t="n">
        <f aca="false">SUM(D43:L43)</f>
        <v>-42000</v>
      </c>
    </row>
    <row r="44" customFormat="false" ht="15" hidden="false" customHeight="false" outlineLevel="0" collapsed="false">
      <c r="B44" s="9" t="s">
        <v>34</v>
      </c>
      <c r="C44" s="5"/>
      <c r="D44" s="10"/>
      <c r="E44" s="10"/>
      <c r="F44" s="10"/>
      <c r="G44" s="10" t="n">
        <v>-18000</v>
      </c>
      <c r="H44" s="10"/>
      <c r="I44" s="10"/>
      <c r="J44" s="10" t="n">
        <v>-11000</v>
      </c>
      <c r="K44" s="11"/>
      <c r="L44" s="10"/>
      <c r="M44" s="6" t="n">
        <f aca="false">SUM(D44:L44)</f>
        <v>-29000</v>
      </c>
    </row>
    <row r="45" customFormat="false" ht="15" hidden="false" customHeight="false" outlineLevel="0" collapsed="false">
      <c r="B45" s="9" t="s">
        <v>35</v>
      </c>
      <c r="C45" s="5"/>
      <c r="D45" s="10"/>
      <c r="E45" s="10"/>
      <c r="F45" s="10"/>
      <c r="G45" s="10"/>
      <c r="H45" s="10" t="n">
        <v>50000</v>
      </c>
      <c r="I45" s="10" t="n">
        <v>9000</v>
      </c>
      <c r="J45" s="10"/>
      <c r="K45" s="10"/>
      <c r="L45" s="10"/>
      <c r="M45" s="6" t="n">
        <f aca="false">SUM(D45:L45)</f>
        <v>59000</v>
      </c>
    </row>
    <row r="46" customFormat="false" ht="15" hidden="false" customHeight="false" outlineLevel="0" collapsed="false">
      <c r="B46" s="2" t="s">
        <v>36</v>
      </c>
      <c r="C46" s="7"/>
      <c r="D46" s="7" t="n">
        <f aca="false">SUM(D47:D48)</f>
        <v>0</v>
      </c>
      <c r="E46" s="7" t="n">
        <f aca="false">SUM(E47:E48)</f>
        <v>-30000</v>
      </c>
      <c r="F46" s="7" t="n">
        <f aca="false">SUM(F47:F48)</f>
        <v>0</v>
      </c>
      <c r="G46" s="7" t="n">
        <f aca="false">SUM(G47:G48)</f>
        <v>0</v>
      </c>
      <c r="H46" s="7" t="n">
        <f aca="false">SUM(H47:H48)</f>
        <v>0</v>
      </c>
      <c r="I46" s="7" t="n">
        <f aca="false">SUM(I47:I48)</f>
        <v>0</v>
      </c>
      <c r="J46" s="7" t="n">
        <f aca="false">SUM(J47:J48)</f>
        <v>0</v>
      </c>
      <c r="K46" s="7" t="n">
        <f aca="false">SUM(K47:K48)</f>
        <v>0</v>
      </c>
      <c r="L46" s="7" t="n">
        <f aca="false">SUM(L47:L48)</f>
        <v>0</v>
      </c>
      <c r="M46" s="8" t="n">
        <f aca="false">SUM(M47:M48)</f>
        <v>-30000</v>
      </c>
    </row>
    <row r="47" customFormat="false" ht="15" hidden="false" customHeight="false" outlineLevel="0" collapsed="false">
      <c r="B47" s="9" t="s">
        <v>11</v>
      </c>
      <c r="C47" s="5"/>
      <c r="D47" s="10"/>
      <c r="E47" s="10" t="n">
        <v>-30000</v>
      </c>
      <c r="F47" s="10"/>
      <c r="G47" s="10"/>
      <c r="H47" s="10"/>
      <c r="I47" s="10"/>
      <c r="J47" s="10"/>
      <c r="K47" s="10"/>
      <c r="L47" s="10"/>
      <c r="M47" s="6" t="n">
        <f aca="false">SUM(D47:L47)</f>
        <v>-30000</v>
      </c>
    </row>
    <row r="48" customFormat="false" ht="15" hidden="false" customHeight="false" outlineLevel="0" collapsed="false">
      <c r="B48" s="1"/>
      <c r="C48" s="5"/>
      <c r="D48" s="10"/>
      <c r="E48" s="10"/>
      <c r="F48" s="10"/>
      <c r="G48" s="10"/>
      <c r="H48" s="10"/>
      <c r="I48" s="10"/>
      <c r="J48" s="10"/>
      <c r="K48" s="10"/>
      <c r="L48" s="10"/>
      <c r="M48" s="6" t="n">
        <f aca="false">SUM(D48:L48)</f>
        <v>0</v>
      </c>
    </row>
    <row r="49" customFormat="false" ht="15" hidden="false" customHeight="false" outlineLevel="0" collapsed="false">
      <c r="B49" s="2" t="s">
        <v>37</v>
      </c>
      <c r="C49" s="7"/>
      <c r="D49" s="7" t="n">
        <f aca="false">SUM(D50:D53)</f>
        <v>100000</v>
      </c>
      <c r="E49" s="7" t="n">
        <f aca="false">SUM(E50:E53)</f>
        <v>0</v>
      </c>
      <c r="F49" s="7" t="n">
        <f aca="false">SUM(F50:F53)</f>
        <v>0</v>
      </c>
      <c r="G49" s="7" t="n">
        <f aca="false">SUM(G50:G53)</f>
        <v>0</v>
      </c>
      <c r="H49" s="7" t="n">
        <f aca="false">SUM(H50:H53)</f>
        <v>0</v>
      </c>
      <c r="I49" s="7" t="n">
        <f aca="false">SUM(I50:I53)</f>
        <v>0</v>
      </c>
      <c r="J49" s="7" t="n">
        <f aca="false">SUM(J50:J53)</f>
        <v>0</v>
      </c>
      <c r="K49" s="7" t="n">
        <f aca="false">SUM(K50:K53)</f>
        <v>0</v>
      </c>
      <c r="L49" s="7" t="n">
        <f aca="false">SUM(L50:L53)</f>
        <v>0</v>
      </c>
      <c r="M49" s="8" t="n">
        <f aca="false">SUM(M50:M53)</f>
        <v>100000</v>
      </c>
    </row>
    <row r="50" customFormat="false" ht="15" hidden="false" customHeight="false" outlineLevel="0" collapsed="false">
      <c r="B50" s="9" t="s">
        <v>38</v>
      </c>
      <c r="C50" s="5"/>
      <c r="D50" s="10" t="n">
        <v>100000</v>
      </c>
      <c r="E50" s="10"/>
      <c r="F50" s="10"/>
      <c r="G50" s="10"/>
      <c r="H50" s="10"/>
      <c r="I50" s="10"/>
      <c r="J50" s="10"/>
      <c r="K50" s="10"/>
      <c r="L50" s="10"/>
      <c r="M50" s="6" t="n">
        <f aca="false">SUM(D50:L50)</f>
        <v>100000</v>
      </c>
    </row>
    <row r="51" customFormat="false" ht="15" hidden="false" customHeight="false" outlineLevel="0" collapsed="false">
      <c r="B51" s="9" t="s">
        <v>39</v>
      </c>
      <c r="C51" s="5"/>
      <c r="D51" s="10"/>
      <c r="E51" s="10"/>
      <c r="F51" s="10"/>
      <c r="G51" s="10"/>
      <c r="H51" s="10"/>
      <c r="I51" s="10"/>
      <c r="J51" s="10"/>
      <c r="K51" s="10"/>
      <c r="L51" s="10"/>
      <c r="M51" s="6" t="n">
        <f aca="false">SUM(D51:L51)</f>
        <v>0</v>
      </c>
    </row>
    <row r="52" customFormat="false" ht="15" hidden="false" customHeight="false" outlineLevel="0" collapsed="false">
      <c r="B52" s="1"/>
      <c r="C52" s="5"/>
      <c r="D52" s="10"/>
      <c r="E52" s="10"/>
      <c r="F52" s="10"/>
      <c r="G52" s="10"/>
      <c r="H52" s="10"/>
      <c r="I52" s="10"/>
      <c r="J52" s="10"/>
      <c r="K52" s="10"/>
      <c r="L52" s="10"/>
      <c r="M52" s="6" t="n">
        <f aca="false">SUM(D52:L52)</f>
        <v>0</v>
      </c>
    </row>
    <row r="53" customFormat="false" ht="15" hidden="false" customHeight="false" outlineLevel="0" collapsed="false">
      <c r="B53" s="1"/>
      <c r="C53" s="5"/>
      <c r="D53" s="10"/>
      <c r="E53" s="10"/>
      <c r="F53" s="10"/>
      <c r="G53" s="10"/>
      <c r="H53" s="10"/>
      <c r="I53" s="10"/>
      <c r="J53" s="10"/>
      <c r="K53" s="10"/>
      <c r="L53" s="10"/>
      <c r="M53" s="6" t="n">
        <f aca="false">SUM(D53:L53)</f>
        <v>0</v>
      </c>
    </row>
    <row r="54" customFormat="false" ht="15" hidden="false" customHeight="false" outlineLevel="0" collapsed="false">
      <c r="B54" s="2" t="s">
        <v>40</v>
      </c>
      <c r="C54" s="16"/>
      <c r="D54" s="16" t="n">
        <f aca="false">D42+D46+D49</f>
        <v>100000</v>
      </c>
      <c r="E54" s="16" t="n">
        <f aca="false">E42+E46+E49</f>
        <v>-30000</v>
      </c>
      <c r="F54" s="16" t="n">
        <f aca="false">F42+F46+F49</f>
        <v>-28000</v>
      </c>
      <c r="G54" s="16" t="n">
        <f aca="false">G42+G46+G49</f>
        <v>-18000</v>
      </c>
      <c r="H54" s="16" t="n">
        <f aca="false">H42+H46+H49</f>
        <v>50000</v>
      </c>
      <c r="I54" s="16" t="n">
        <f aca="false">I42+I46+I49</f>
        <v>9000</v>
      </c>
      <c r="J54" s="16" t="n">
        <f aca="false">J42+J46+J49</f>
        <v>-11000</v>
      </c>
      <c r="K54" s="16" t="n">
        <f aca="false">K42+K46+K49</f>
        <v>-14000</v>
      </c>
      <c r="L54" s="16" t="n">
        <f aca="false">L42+L46+L49</f>
        <v>0</v>
      </c>
      <c r="M54" s="8" t="n">
        <f aca="false">M42+M46+M49</f>
        <v>58000</v>
      </c>
    </row>
    <row r="55" customFormat="false" ht="15" hidden="false" customHeight="false" outlineLevel="0" collapsed="false">
      <c r="B55" s="2" t="s">
        <v>41</v>
      </c>
      <c r="C55" s="5"/>
      <c r="D55" s="10"/>
      <c r="E55" s="5" t="n">
        <f aca="false">D56</f>
        <v>100000</v>
      </c>
      <c r="F55" s="5" t="n">
        <f aca="false">E56</f>
        <v>70000</v>
      </c>
      <c r="G55" s="5" t="n">
        <f aca="false">F56</f>
        <v>42000</v>
      </c>
      <c r="H55" s="5" t="n">
        <f aca="false">G56</f>
        <v>24000</v>
      </c>
      <c r="I55" s="5" t="n">
        <f aca="false">H56</f>
        <v>74000</v>
      </c>
      <c r="J55" s="5" t="n">
        <f aca="false">I56</f>
        <v>83000</v>
      </c>
      <c r="K55" s="5" t="n">
        <f aca="false">J56</f>
        <v>72000</v>
      </c>
      <c r="L55" s="5" t="n">
        <f aca="false">K56</f>
        <v>58000</v>
      </c>
      <c r="M55" s="6" t="n">
        <f aca="false">D55</f>
        <v>0</v>
      </c>
    </row>
    <row r="56" customFormat="false" ht="15.75" hidden="false" customHeight="true" outlineLevel="0" collapsed="false">
      <c r="B56" s="2" t="s">
        <v>42</v>
      </c>
      <c r="C56" s="13"/>
      <c r="D56" s="13" t="n">
        <f aca="false">D55+D54</f>
        <v>100000</v>
      </c>
      <c r="E56" s="13" t="n">
        <f aca="false">E55+E54</f>
        <v>70000</v>
      </c>
      <c r="F56" s="13" t="n">
        <f aca="false">F55+F54</f>
        <v>42000</v>
      </c>
      <c r="G56" s="13" t="n">
        <f aca="false">G55+G54</f>
        <v>24000</v>
      </c>
      <c r="H56" s="13" t="n">
        <f aca="false">H55+H54</f>
        <v>74000</v>
      </c>
      <c r="I56" s="13" t="n">
        <f aca="false">I55+I54</f>
        <v>83000</v>
      </c>
      <c r="J56" s="13" t="n">
        <f aca="false">J55+J54</f>
        <v>72000</v>
      </c>
      <c r="K56" s="13" t="n">
        <f aca="false">K55+K54</f>
        <v>58000</v>
      </c>
      <c r="L56" s="13" t="n">
        <f aca="false">L55+L54</f>
        <v>58000</v>
      </c>
      <c r="M56" s="14" t="n">
        <f aca="false">M55+M54</f>
        <v>58000</v>
      </c>
    </row>
    <row r="57" customFormat="false" ht="15.75" hidden="false" customHeight="true" outlineLevel="0" collapsed="false"/>
    <row r="58" customFormat="false" ht="15" hidden="false" customHeight="false" outlineLevel="0" collapsed="false">
      <c r="B58" s="12" t="s">
        <v>43</v>
      </c>
      <c r="C58" s="17" t="n">
        <f aca="false">M56-M5</f>
        <v>0</v>
      </c>
    </row>
    <row r="59" customFormat="false" ht="15" hidden="false" customHeight="false" outlineLevel="0" collapsed="false">
      <c r="B59" s="12" t="s">
        <v>44</v>
      </c>
      <c r="C59" s="17" t="n">
        <f aca="false">M38-(M25-L25)</f>
        <v>0</v>
      </c>
    </row>
  </sheetData>
  <conditionalFormatting sqref="C29:M29">
    <cfRule type="cellIs" priority="2" operator="notEqual" aboveAverage="0" equalAverage="0" bottom="0" percent="0" rank="0" text="" dxfId="0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LibreOffice/26.2.2.2$MacOSX_AARCH64 LibreOffice_project/1f77d10d6938fd34972958f64b2bcfa54f8b1ba5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2026-08-27T20:26:15Z</dcterms:created>
  <dc:creator>openpyxl</dc:creator>
  <dc:description/>
  <dc:language>pt-BR</dc:language>
  <cp:lastModifiedBy>Arthur Malucelli</cp:lastModifiedBy>
  <dcterms:modified xsi:type="dcterms:W3CDTF">2026-08-27T20:46:30Z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