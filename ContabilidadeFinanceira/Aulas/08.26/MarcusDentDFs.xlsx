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Transacoes" sheetId="2" state="visible" r:id="rId4"/>
    <sheet name="Comparativo" sheetId="3" state="visible" r:id="rId5"/>
    <sheet name="Reconciliaca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<sst xmlns="http://schemas.openxmlformats.org/spreadsheetml/2006/main" count="123" uniqueCount="122">
  <si>
    <t xml:space="preserve">CASO MARCUS DENT: demonstracoes financeiras de janeiro/2024</t>
  </si>
  <si>
    <t xml:space="preserve">Valores em R$. Legenda:</t>
  </si>
  <si>
    <t xml:space="preserve">azul = input do caso</t>
  </si>
  <si>
    <t xml:space="preserve">preto = formula</t>
  </si>
  <si>
    <t xml:space="preserve">verde = link entre abas</t>
  </si>
  <si>
    <t xml:space="preserve">Abertura (31/12/2023)</t>
  </si>
  <si>
    <t xml:space="preserve">Emprestimo microcredito (principal)</t>
  </si>
  <si>
    <t xml:space="preserve">Taxa de juros mensal</t>
  </si>
  <si>
    <t xml:space="preserve">Equipamentos (comprados com o emprestimo)</t>
  </si>
  <si>
    <t xml:space="preserve">Vida util dos equipamentos (meses)</t>
  </si>
  <si>
    <t xml:space="preserve">Capital inicial (economias depositadas)</t>
  </si>
  <si>
    <t xml:space="preserve">Janeiro/2024</t>
  </si>
  <si>
    <t xml:space="preserve">Servicos prestados no mes</t>
  </si>
  <si>
    <t xml:space="preserve">% recebido a vista</t>
  </si>
  <si>
    <t xml:space="preserve">Adiantamento recebido (servicos de marco)</t>
  </si>
  <si>
    <t xml:space="preserve">Aluguel pago no mes</t>
  </si>
  <si>
    <t xml:space="preserve">Meses cobertos pelo aluguel pago</t>
  </si>
  <si>
    <t xml:space="preserve">Compra de materiais (a vista)</t>
  </si>
  <si>
    <t xml:space="preserve">Estoque de materiais em 31/01</t>
  </si>
  <si>
    <t xml:space="preserve">Salarios e encargos do mes (pagos em fevereiro)</t>
  </si>
  <si>
    <t xml:space="preserve">Derivados</t>
  </si>
  <si>
    <t xml:space="preserve">Depreciacao mensal</t>
  </si>
  <si>
    <t xml:space="preserve">Juros do mes</t>
  </si>
  <si>
    <t xml:space="preserve">Aluguel de competencia do mes</t>
  </si>
  <si>
    <t xml:space="preserve">Materiais consumidos</t>
  </si>
  <si>
    <t xml:space="preserve">Recebido a vista de servicos</t>
  </si>
  <si>
    <t xml:space="preserve">Servicos a receber (clientes)</t>
  </si>
  <si>
    <t xml:space="preserve">Despesa antecipada de aluguel (fevereiro)</t>
  </si>
  <si>
    <t xml:space="preserve">Efeito de cada transacao de janeiro/2024 no Balanco, na DRE e no Caixa</t>
  </si>
  <si>
    <t xml:space="preserve">BP inicial 31/12/23</t>
  </si>
  <si>
    <t xml:space="preserve">T1a Servicos</t>
  </si>
  <si>
    <t xml:space="preserve">T1b Adiantamento</t>
  </si>
  <si>
    <t xml:space="preserve">T2 Aluguel</t>
  </si>
  <si>
    <t xml:space="preserve">T3 Materiais</t>
  </si>
  <si>
    <t xml:space="preserve">T4 Salarios</t>
  </si>
  <si>
    <t xml:space="preserve">T5 Depreciacao</t>
  </si>
  <si>
    <t xml:space="preserve">T6 Juros</t>
  </si>
  <si>
    <t xml:space="preserve">BP final 31/01/24</t>
  </si>
  <si>
    <t xml:space="preserve">Emprestimo de 54.000 vira equipamentos; economias de 10.000 viram capital</t>
  </si>
  <si>
    <t xml:space="preserve">Presta 8.000, recebe 20% a vista, 80% fica a receber</t>
  </si>
  <si>
    <t xml:space="preserve">Recebe 2.000 por servicos que so presta em marco</t>
  </si>
  <si>
    <t xml:space="preserve">Paga 2.200 de aluguel de janeiro e fevereiro</t>
  </si>
  <si>
    <t xml:space="preserve">Compra 3.000 a vista, sobra 1.300 em estoque</t>
  </si>
  <si>
    <t xml:space="preserve">Salario de 500 do mes, pago em fevereiro</t>
  </si>
  <si>
    <t xml:space="preserve">54.000 / 36 meses</t>
  </si>
  <si>
    <t xml:space="preserve">2% x 54.000, pagos so no fim de 2 anos</t>
  </si>
  <si>
    <t xml:space="preserve">Soma das colunas</t>
  </si>
  <si>
    <t xml:space="preserve">ATIVO</t>
  </si>
  <si>
    <t xml:space="preserve">Caixa e bancos</t>
  </si>
  <si>
    <t xml:space="preserve">Clientes (duplicatas a receber)</t>
  </si>
  <si>
    <t xml:space="preserve">Estoque de materiais</t>
  </si>
  <si>
    <t xml:space="preserve">Despesas antecipadas (aluguel de fevereiro)</t>
  </si>
  <si>
    <t xml:space="preserve">Ativo circulante</t>
  </si>
  <si>
    <t xml:space="preserve">Equipamentos</t>
  </si>
  <si>
    <t xml:space="preserve">(-) Depreciacao acumulada</t>
  </si>
  <si>
    <t xml:space="preserve">Ativo nao circulante (imobilizado liquido)</t>
  </si>
  <si>
    <t xml:space="preserve">TOTAL DO ATIVO</t>
  </si>
  <si>
    <t xml:space="preserve">PASSIVO</t>
  </si>
  <si>
    <t xml:space="preserve">Salarios a pagar</t>
  </si>
  <si>
    <t xml:space="preserve">Receita antecipada (adiantamento de clientes)</t>
  </si>
  <si>
    <t xml:space="preserve">Passivo circulante</t>
  </si>
  <si>
    <t xml:space="preserve">Emprestimo a pagar (vence dez/2025)</t>
  </si>
  <si>
    <t xml:space="preserve">Juros a pagar (vencem com o principal)</t>
  </si>
  <si>
    <t xml:space="preserve">Passivo nao circulante</t>
  </si>
  <si>
    <t xml:space="preserve">TOTAL DO PASSIVO</t>
  </si>
  <si>
    <t xml:space="preserve">PATRIMONIO LIQUIDO</t>
  </si>
  <si>
    <t xml:space="preserve">Capital social</t>
  </si>
  <si>
    <t xml:space="preserve">Lucros acumulados (resultado do mes)</t>
  </si>
  <si>
    <t xml:space="preserve">TOTAL DO PL</t>
  </si>
  <si>
    <t xml:space="preserve">PASSIVO + PL</t>
  </si>
  <si>
    <t xml:space="preserve">Check: Ativo - (Passivo + PL)</t>
  </si>
  <si>
    <t xml:space="preserve">DRE (regime de competencia)</t>
  </si>
  <si>
    <t xml:space="preserve">Receita de servicos</t>
  </si>
  <si>
    <t xml:space="preserve">(-) Aluguel</t>
  </si>
  <si>
    <t xml:space="preserve">(-) Salarios e encargos</t>
  </si>
  <si>
    <t xml:space="preserve">(-) Materiais consumidos</t>
  </si>
  <si>
    <t xml:space="preserve">(-) Depreciacao dos equipamentos</t>
  </si>
  <si>
    <t xml:space="preserve">Resultado operacional (EBIT)</t>
  </si>
  <si>
    <t xml:space="preserve">(-) Juros do emprestimo (despesa financeira)</t>
  </si>
  <si>
    <t xml:space="preserve">LUCRO LIQUIDO DO MES</t>
  </si>
  <si>
    <t xml:space="preserve">Check: lucro da DRE - variacao de lucros acumulados</t>
  </si>
  <si>
    <t xml:space="preserve">CAIXA (regime de caixa)</t>
  </si>
  <si>
    <t xml:space="preserve">Entradas</t>
  </si>
  <si>
    <t xml:space="preserve">Saidas</t>
  </si>
  <si>
    <t xml:space="preserve">Variacao de caixa</t>
  </si>
  <si>
    <t xml:space="preserve">Caixa inicial</t>
  </si>
  <si>
    <t xml:space="preserve">Caixa final</t>
  </si>
  <si>
    <t xml:space="preserve">Check: caixa final - caixa do BP final</t>
  </si>
  <si>
    <t xml:space="preserve">Check: variacao de caixa - movimento na conta Caixa</t>
  </si>
  <si>
    <t xml:space="preserve">Tabela comparativa: Fluxo de Caixa (regime de caixa) x DRE (regime de competencia)</t>
  </si>
  <si>
    <t xml:space="preserve">Fluxo de Caixa (Regime de Caixa)</t>
  </si>
  <si>
    <t xml:space="preserve">DRE (Regime de Competencia)</t>
  </si>
  <si>
    <t xml:space="preserve">Receitas/Entradas</t>
  </si>
  <si>
    <t xml:space="preserve">Servicos</t>
  </si>
  <si>
    <t xml:space="preserve">Adiantam. Serv.</t>
  </si>
  <si>
    <t xml:space="preserve">Subtotal</t>
  </si>
  <si>
    <t xml:space="preserve">Despesas/Saidas</t>
  </si>
  <si>
    <t xml:space="preserve">Aluguel</t>
  </si>
  <si>
    <t xml:space="preserve">Salarios</t>
  </si>
  <si>
    <t xml:space="preserve">Material</t>
  </si>
  <si>
    <t xml:space="preserve">Depreciacao do Equipamento</t>
  </si>
  <si>
    <t xml:space="preserve">Juros</t>
  </si>
  <si>
    <t xml:space="preserve">Lucro / Variacao no Caixa</t>
  </si>
  <si>
    <t xml:space="preserve">Check contra a aba Transacoes (deve dar zero)</t>
  </si>
  <si>
    <t xml:space="preserve">Lucro menos variacao de caixa (explicado na aba Reconciliacao)</t>
  </si>
  <si>
    <t xml:space="preserve">Reconciliacao: do lucro (competencia) a variacao de caixa (regime de caixa), metodo indireto</t>
  </si>
  <si>
    <t xml:space="preserve">Lucro liquido do mes</t>
  </si>
  <si>
    <t xml:space="preserve">(+) Despesas que nao sairam do caixa</t>
  </si>
  <si>
    <t xml:space="preserve">Depreciacao</t>
  </si>
  <si>
    <t xml:space="preserve">Juros provisionados e nao pagos (aumento de juros a pagar)</t>
  </si>
  <si>
    <t xml:space="preserve">(-/+) Variacao do capital de giro</t>
  </si>
  <si>
    <t xml:space="preserve">(-) Aumento de clientes</t>
  </si>
  <si>
    <t xml:space="preserve">(-) Aumento de estoque</t>
  </si>
  <si>
    <t xml:space="preserve">(-) Aumento de despesas antecipadas</t>
  </si>
  <si>
    <t xml:space="preserve">(+) Aumento de salarios a pagar</t>
  </si>
  <si>
    <t xml:space="preserve">(+) Aumento de receita antecipada</t>
  </si>
  <si>
    <t xml:space="preserve">Caixa gerado (utilizado) nas operacoes, FCO</t>
  </si>
  <si>
    <t xml:space="preserve">Caixa de investimento em janeiro (equipamentos comprados em 31/12)</t>
  </si>
  <si>
    <t xml:space="preserve">Caixa de financiamento em janeiro (emprestimo e capital em 31/12)</t>
  </si>
  <si>
    <t xml:space="preserve">Variacao de caixa (indireto)</t>
  </si>
  <si>
    <t xml:space="preserve">Variacao de caixa pelo metodo direto (aba Transacoes)</t>
  </si>
  <si>
    <t xml:space="preserve">Check: indireto - direto (deve dar zero)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</si>
</sst>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  <c r="C2" s="0" t="s">
        <v>3</v>
      </c>
      <c r="D2" s="3" t="s">
        <v>4</v>
      </c>
    </row>
    <row r="4" customFormat="false" ht="15" hidden="false" customHeight="false" outlineLevel="0" collapsed="false">
      <c r="A4" s="1" t="s">
        <v>5</v>
      </c>
    </row>
    <row r="5" customFormat="false" ht="15" hidden="false" customHeight="false" outlineLevel="0" collapsed="false">
      <c r="A5" s="4" t="s">
        <v>6</v>
      </c>
      <c r="B5" s="5" t="n">
        <v>54000</v>
      </c>
    </row>
    <row r="6" customFormat="false" ht="15" hidden="false" customHeight="false" outlineLevel="0" collapsed="false">
      <c r="A6" s="4" t="s">
        <v>7</v>
      </c>
      <c r="B6" s="6" t="n">
        <v>0.02</v>
      </c>
    </row>
    <row r="7" customFormat="false" ht="15" hidden="false" customHeight="false" outlineLevel="0" collapsed="false">
      <c r="A7" s="4" t="s">
        <v>8</v>
      </c>
      <c r="B7" s="7" t="n">
        <f aca="false">B5</f>
        <v>54000</v>
      </c>
    </row>
    <row r="8" customFormat="false" ht="15" hidden="false" customHeight="false" outlineLevel="0" collapsed="false">
      <c r="A8" s="4" t="s">
        <v>9</v>
      </c>
      <c r="B8" s="8" t="n">
        <v>36</v>
      </c>
    </row>
    <row r="9" customFormat="false" ht="15" hidden="false" customHeight="false" outlineLevel="0" collapsed="false">
      <c r="A9" s="4" t="s">
        <v>10</v>
      </c>
      <c r="B9" s="5" t="n">
        <v>10000</v>
      </c>
    </row>
    <row r="11" customFormat="false" ht="15" hidden="false" customHeight="false" outlineLevel="0" collapsed="false">
      <c r="A11" s="1" t="s">
        <v>11</v>
      </c>
    </row>
    <row r="12" customFormat="false" ht="15" hidden="false" customHeight="false" outlineLevel="0" collapsed="false">
      <c r="A12" s="4" t="s">
        <v>12</v>
      </c>
      <c r="B12" s="5" t="n">
        <v>8000</v>
      </c>
    </row>
    <row r="13" customFormat="false" ht="15" hidden="false" customHeight="false" outlineLevel="0" collapsed="false">
      <c r="A13" s="4" t="s">
        <v>13</v>
      </c>
      <c r="B13" s="9" t="n">
        <v>0.2</v>
      </c>
    </row>
    <row r="14" customFormat="false" ht="15" hidden="false" customHeight="false" outlineLevel="0" collapsed="false">
      <c r="A14" s="4" t="s">
        <v>14</v>
      </c>
      <c r="B14" s="5" t="n">
        <v>2000</v>
      </c>
    </row>
    <row r="15" customFormat="false" ht="15" hidden="false" customHeight="false" outlineLevel="0" collapsed="false">
      <c r="A15" s="4" t="s">
        <v>15</v>
      </c>
      <c r="B15" s="5" t="n">
        <v>2200</v>
      </c>
    </row>
    <row r="16" customFormat="false" ht="15" hidden="false" customHeight="false" outlineLevel="0" collapsed="false">
      <c r="A16" s="4" t="s">
        <v>16</v>
      </c>
      <c r="B16" s="8" t="n">
        <v>2</v>
      </c>
    </row>
    <row r="17" customFormat="false" ht="15" hidden="false" customHeight="false" outlineLevel="0" collapsed="false">
      <c r="A17" s="4" t="s">
        <v>17</v>
      </c>
      <c r="B17" s="5" t="n">
        <v>3000</v>
      </c>
    </row>
    <row r="18" customFormat="false" ht="15" hidden="false" customHeight="false" outlineLevel="0" collapsed="false">
      <c r="A18" s="4" t="s">
        <v>18</v>
      </c>
      <c r="B18" s="5" t="n">
        <v>1300</v>
      </c>
    </row>
    <row r="19" customFormat="false" ht="15" hidden="false" customHeight="false" outlineLevel="0" collapsed="false">
      <c r="A19" s="4" t="s">
        <v>19</v>
      </c>
      <c r="B19" s="5" t="n">
        <v>500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4" t="s">
        <v>21</v>
      </c>
      <c r="B22" s="7" t="n">
        <f aca="false">B7/B8</f>
        <v>1500</v>
      </c>
    </row>
    <row r="23" customFormat="false" ht="15" hidden="false" customHeight="false" outlineLevel="0" collapsed="false">
      <c r="A23" s="4" t="s">
        <v>22</v>
      </c>
      <c r="B23" s="7" t="n">
        <f aca="false">B5*B6</f>
        <v>1080</v>
      </c>
    </row>
    <row r="24" customFormat="false" ht="15" hidden="false" customHeight="false" outlineLevel="0" collapsed="false">
      <c r="A24" s="4" t="s">
        <v>23</v>
      </c>
      <c r="B24" s="7" t="n">
        <f aca="false">B15/B16</f>
        <v>1100</v>
      </c>
    </row>
    <row r="25" customFormat="false" ht="15" hidden="false" customHeight="false" outlineLevel="0" collapsed="false">
      <c r="A25" s="4" t="s">
        <v>24</v>
      </c>
      <c r="B25" s="7" t="n">
        <f aca="false">B17-B18</f>
        <v>1700</v>
      </c>
    </row>
    <row r="26" customFormat="false" ht="15" hidden="false" customHeight="false" outlineLevel="0" collapsed="false">
      <c r="A26" s="4" t="s">
        <v>25</v>
      </c>
      <c r="B26" s="7" t="n">
        <f aca="false">B12*B13</f>
        <v>1600</v>
      </c>
    </row>
    <row r="27" customFormat="false" ht="15" hidden="false" customHeight="false" outlineLevel="0" collapsed="false">
      <c r="A27" s="4" t="s">
        <v>26</v>
      </c>
      <c r="B27" s="7" t="n">
        <f aca="false">B12-B26</f>
        <v>6400</v>
      </c>
    </row>
    <row r="28" customFormat="false" ht="15" hidden="false" customHeight="false" outlineLevel="0" collapsed="false">
      <c r="A28" s="4" t="s">
        <v>27</v>
      </c>
      <c r="B28" s="7" t="n">
        <f aca="false">B15-B24</f>
        <v>1100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</cols>
  <sheetData>
    <row r="1" customFormat="false" ht="15" hidden="false" customHeight="false" outlineLevel="0" collapsed="false">
      <c r="A1" s="1" t="s">
        <v>28</v>
      </c>
    </row>
    <row r="2" customFormat="false" ht="26.85" hidden="false" customHeight="false" outlineLevel="0" collapsed="false"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 t="s">
        <v>37</v>
      </c>
    </row>
    <row r="3" customFormat="false" ht="63.75" hidden="false" customHeight="true" outlineLevel="0" collapsed="false">
      <c r="B3" s="11" t="s">
        <v>38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  <c r="I3" s="11" t="s">
        <v>45</v>
      </c>
      <c r="J3" s="11" t="s">
        <v>46</v>
      </c>
    </row>
    <row r="4" customFormat="false" ht="15" hidden="false" customHeight="false" outlineLevel="0" collapsed="false">
      <c r="A4" s="1" t="s">
        <v>47</v>
      </c>
    </row>
    <row r="5" customFormat="false" ht="15" hidden="false" customHeight="false" outlineLevel="0" collapsed="false">
      <c r="A5" s="4" t="s">
        <v>48</v>
      </c>
      <c r="B5" s="12" t="n">
        <f aca="false">Premissas!B9</f>
        <v>10000</v>
      </c>
      <c r="C5" s="12" t="n">
        <f aca="false">Premissas!B26</f>
        <v>1600</v>
      </c>
      <c r="D5" s="12" t="n">
        <f aca="false">Premissas!B14</f>
        <v>2000</v>
      </c>
      <c r="E5" s="12" t="n">
        <f aca="false">-Premissas!B15</f>
        <v>-2200</v>
      </c>
      <c r="F5" s="12" t="n">
        <f aca="false">-Premissas!B17</f>
        <v>-3000</v>
      </c>
      <c r="J5" s="7" t="n">
        <f aca="false">SUM(B5:I5)</f>
        <v>8400</v>
      </c>
    </row>
    <row r="6" customFormat="false" ht="15" hidden="false" customHeight="false" outlineLevel="0" collapsed="false">
      <c r="A6" s="4" t="s">
        <v>49</v>
      </c>
      <c r="C6" s="12" t="n">
        <f aca="false">Premissas!B27</f>
        <v>6400</v>
      </c>
      <c r="J6" s="7" t="n">
        <f aca="false">SUM(B6:I6)</f>
        <v>6400</v>
      </c>
    </row>
    <row r="7" customFormat="false" ht="15" hidden="false" customHeight="false" outlineLevel="0" collapsed="false">
      <c r="A7" s="4" t="s">
        <v>50</v>
      </c>
      <c r="F7" s="12" t="n">
        <f aca="false">Premissas!B18</f>
        <v>1300</v>
      </c>
      <c r="J7" s="7" t="n">
        <f aca="false">SUM(B7:I7)</f>
        <v>1300</v>
      </c>
    </row>
    <row r="8" customFormat="false" ht="15" hidden="false" customHeight="false" outlineLevel="0" collapsed="false">
      <c r="A8" s="4" t="s">
        <v>51</v>
      </c>
      <c r="E8" s="12" t="n">
        <f aca="false">Premissas!B28</f>
        <v>1100</v>
      </c>
      <c r="J8" s="7" t="n">
        <f aca="false">SUM(B8:I8)</f>
        <v>1100</v>
      </c>
    </row>
    <row r="9" customFormat="false" ht="15" hidden="false" customHeight="false" outlineLevel="0" collapsed="false">
      <c r="A9" s="1" t="s">
        <v>52</v>
      </c>
      <c r="B9" s="13" t="n">
        <f aca="false">SUM(B5:B8)</f>
        <v>10000</v>
      </c>
      <c r="C9" s="13" t="n">
        <f aca="false">SUM(C5:C8)</f>
        <v>8000</v>
      </c>
      <c r="D9" s="13" t="n">
        <f aca="false">SUM(D5:D8)</f>
        <v>2000</v>
      </c>
      <c r="E9" s="13" t="n">
        <f aca="false">SUM(E5:E8)</f>
        <v>-1100</v>
      </c>
      <c r="F9" s="13" t="n">
        <f aca="false">SUM(F5:F8)</f>
        <v>-1700</v>
      </c>
      <c r="G9" s="13" t="n">
        <f aca="false">SUM(G5:G8)</f>
        <v>0</v>
      </c>
      <c r="H9" s="13" t="n">
        <f aca="false">SUM(H5:H8)</f>
        <v>0</v>
      </c>
      <c r="I9" s="13" t="n">
        <f aca="false">SUM(I5:I8)</f>
        <v>0</v>
      </c>
      <c r="J9" s="13" t="n">
        <f aca="false">SUM(J5:J8)</f>
        <v>17200</v>
      </c>
    </row>
    <row r="10" customFormat="false" ht="15" hidden="false" customHeight="false" outlineLevel="0" collapsed="false">
      <c r="A10" s="4" t="s">
        <v>53</v>
      </c>
      <c r="B10" s="12" t="n">
        <f aca="false">Premissas!B7</f>
        <v>54000</v>
      </c>
      <c r="J10" s="7" t="n">
        <f aca="false">SUM(B10:I10)</f>
        <v>54000</v>
      </c>
    </row>
    <row r="11" customFormat="false" ht="15" hidden="false" customHeight="false" outlineLevel="0" collapsed="false">
      <c r="A11" s="4" t="s">
        <v>54</v>
      </c>
      <c r="H11" s="12" t="n">
        <f aca="false">-Premissas!B22</f>
        <v>-1500</v>
      </c>
      <c r="J11" s="7" t="n">
        <f aca="false">SUM(B11:I11)</f>
        <v>-1500</v>
      </c>
    </row>
    <row r="12" customFormat="false" ht="15" hidden="false" customHeight="false" outlineLevel="0" collapsed="false">
      <c r="A12" s="1" t="s">
        <v>55</v>
      </c>
      <c r="B12" s="13" t="n">
        <f aca="false">B10+B11</f>
        <v>54000</v>
      </c>
      <c r="C12" s="13" t="n">
        <f aca="false">C10+C11</f>
        <v>0</v>
      </c>
      <c r="D12" s="13" t="n">
        <f aca="false">D10+D11</f>
        <v>0</v>
      </c>
      <c r="E12" s="13" t="n">
        <f aca="false">E10+E11</f>
        <v>0</v>
      </c>
      <c r="F12" s="13" t="n">
        <f aca="false">F10+F11</f>
        <v>0</v>
      </c>
      <c r="G12" s="13" t="n">
        <f aca="false">G10+G11</f>
        <v>0</v>
      </c>
      <c r="H12" s="13" t="n">
        <f aca="false">H10+H11</f>
        <v>-1500</v>
      </c>
      <c r="I12" s="13" t="n">
        <f aca="false">I10+I11</f>
        <v>0</v>
      </c>
      <c r="J12" s="13" t="n">
        <f aca="false">J10+J11</f>
        <v>52500</v>
      </c>
    </row>
    <row r="13" customFormat="false" ht="15" hidden="false" customHeight="false" outlineLevel="0" collapsed="false">
      <c r="A13" s="1" t="s">
        <v>56</v>
      </c>
      <c r="B13" s="13" t="n">
        <f aca="false">B9+B12</f>
        <v>64000</v>
      </c>
      <c r="C13" s="13" t="n">
        <f aca="false">C9+C12</f>
        <v>8000</v>
      </c>
      <c r="D13" s="13" t="n">
        <f aca="false">D9+D12</f>
        <v>2000</v>
      </c>
      <c r="E13" s="13" t="n">
        <f aca="false">E9+E12</f>
        <v>-1100</v>
      </c>
      <c r="F13" s="13" t="n">
        <f aca="false">F9+F12</f>
        <v>-1700</v>
      </c>
      <c r="G13" s="13" t="n">
        <f aca="false">G9+G12</f>
        <v>0</v>
      </c>
      <c r="H13" s="13" t="n">
        <f aca="false">H9+H12</f>
        <v>-1500</v>
      </c>
      <c r="I13" s="13" t="n">
        <f aca="false">I9+I12</f>
        <v>0</v>
      </c>
      <c r="J13" s="13" t="n">
        <f aca="false">J9+J12</f>
        <v>69700</v>
      </c>
    </row>
    <row r="15" customFormat="false" ht="15" hidden="false" customHeight="false" outlineLevel="0" collapsed="false">
      <c r="A15" s="1" t="s">
        <v>57</v>
      </c>
    </row>
    <row r="16" customFormat="false" ht="15" hidden="false" customHeight="false" outlineLevel="0" collapsed="false">
      <c r="A16" s="4" t="s">
        <v>58</v>
      </c>
      <c r="G16" s="12" t="n">
        <f aca="false">Premissas!B19</f>
        <v>500</v>
      </c>
      <c r="J16" s="7" t="n">
        <f aca="false">SUM(B16:I16)</f>
        <v>500</v>
      </c>
    </row>
    <row r="17" customFormat="false" ht="15" hidden="false" customHeight="false" outlineLevel="0" collapsed="false">
      <c r="A17" s="4" t="s">
        <v>59</v>
      </c>
      <c r="D17" s="12" t="n">
        <f aca="false">Premissas!B14</f>
        <v>2000</v>
      </c>
      <c r="J17" s="7" t="n">
        <f aca="false">SUM(B17:I17)</f>
        <v>2000</v>
      </c>
    </row>
    <row r="18" customFormat="false" ht="15" hidden="false" customHeight="false" outlineLevel="0" collapsed="false">
      <c r="A18" s="1" t="s">
        <v>60</v>
      </c>
      <c r="B18" s="13" t="n">
        <f aca="false">SUM(B16:B17)</f>
        <v>0</v>
      </c>
      <c r="C18" s="13" t="n">
        <f aca="false">SUM(C16:C17)</f>
        <v>0</v>
      </c>
      <c r="D18" s="13" t="n">
        <f aca="false">SUM(D16:D17)</f>
        <v>2000</v>
      </c>
      <c r="E18" s="13" t="n">
        <f aca="false">SUM(E16:E17)</f>
        <v>0</v>
      </c>
      <c r="F18" s="13" t="n">
        <f aca="false">SUM(F16:F17)</f>
        <v>0</v>
      </c>
      <c r="G18" s="13" t="n">
        <f aca="false">SUM(G16:G17)</f>
        <v>500</v>
      </c>
      <c r="H18" s="13" t="n">
        <f aca="false">SUM(H16:H17)</f>
        <v>0</v>
      </c>
      <c r="I18" s="13" t="n">
        <f aca="false">SUM(I16:I17)</f>
        <v>0</v>
      </c>
      <c r="J18" s="13" t="n">
        <f aca="false">SUM(J16:J17)</f>
        <v>2500</v>
      </c>
    </row>
    <row r="19" customFormat="false" ht="15" hidden="false" customHeight="false" outlineLevel="0" collapsed="false">
      <c r="A19" s="4" t="s">
        <v>61</v>
      </c>
      <c r="B19" s="12" t="n">
        <f aca="false">Premissas!B5</f>
        <v>54000</v>
      </c>
      <c r="J19" s="7" t="n">
        <f aca="false">SUM(B19:I19)</f>
        <v>54000</v>
      </c>
    </row>
    <row r="20" customFormat="false" ht="15" hidden="false" customHeight="false" outlineLevel="0" collapsed="false">
      <c r="A20" s="4" t="s">
        <v>62</v>
      </c>
      <c r="I20" s="12" t="n">
        <f aca="false">Premissas!B23</f>
        <v>1080</v>
      </c>
      <c r="J20" s="7" t="n">
        <f aca="false">SUM(B20:I20)</f>
        <v>1080</v>
      </c>
    </row>
    <row r="21" customFormat="false" ht="15" hidden="false" customHeight="false" outlineLevel="0" collapsed="false">
      <c r="A21" s="1" t="s">
        <v>63</v>
      </c>
      <c r="B21" s="13" t="n">
        <f aca="false">B19+B20</f>
        <v>54000</v>
      </c>
      <c r="C21" s="13" t="n">
        <f aca="false">C19+C20</f>
        <v>0</v>
      </c>
      <c r="D21" s="13" t="n">
        <f aca="false">D19+D20</f>
        <v>0</v>
      </c>
      <c r="E21" s="13" t="n">
        <f aca="false">E19+E20</f>
        <v>0</v>
      </c>
      <c r="F21" s="13" t="n">
        <f aca="false">F19+F20</f>
        <v>0</v>
      </c>
      <c r="G21" s="13" t="n">
        <f aca="false">G19+G20</f>
        <v>0</v>
      </c>
      <c r="H21" s="13" t="n">
        <f aca="false">H19+H20</f>
        <v>0</v>
      </c>
      <c r="I21" s="13" t="n">
        <f aca="false">I19+I20</f>
        <v>1080</v>
      </c>
      <c r="J21" s="13" t="n">
        <f aca="false">J19+J20</f>
        <v>55080</v>
      </c>
    </row>
    <row r="22" customFormat="false" ht="15" hidden="false" customHeight="false" outlineLevel="0" collapsed="false">
      <c r="A22" s="1" t="s">
        <v>64</v>
      </c>
      <c r="B22" s="13" t="n">
        <f aca="false">B18+B21</f>
        <v>54000</v>
      </c>
      <c r="C22" s="13" t="n">
        <f aca="false">C18+C21</f>
        <v>0</v>
      </c>
      <c r="D22" s="13" t="n">
        <f aca="false">D18+D21</f>
        <v>2000</v>
      </c>
      <c r="E22" s="13" t="n">
        <f aca="false">E18+E21</f>
        <v>0</v>
      </c>
      <c r="F22" s="13" t="n">
        <f aca="false">F18+F21</f>
        <v>0</v>
      </c>
      <c r="G22" s="13" t="n">
        <f aca="false">G18+G21</f>
        <v>500</v>
      </c>
      <c r="H22" s="13" t="n">
        <f aca="false">H18+H21</f>
        <v>0</v>
      </c>
      <c r="I22" s="13" t="n">
        <f aca="false">I18+I21</f>
        <v>1080</v>
      </c>
      <c r="J22" s="13" t="n">
        <f aca="false">J18+J21</f>
        <v>57580</v>
      </c>
    </row>
    <row r="24" customFormat="false" ht="15" hidden="false" customHeight="false" outlineLevel="0" collapsed="false">
      <c r="A24" s="1" t="s">
        <v>65</v>
      </c>
    </row>
    <row r="25" customFormat="false" ht="15" hidden="false" customHeight="false" outlineLevel="0" collapsed="false">
      <c r="A25" s="4" t="s">
        <v>66</v>
      </c>
      <c r="B25" s="12" t="n">
        <f aca="false">Premissas!B9</f>
        <v>10000</v>
      </c>
      <c r="J25" s="7" t="n">
        <f aca="false">SUM(B25:I25)</f>
        <v>10000</v>
      </c>
    </row>
    <row r="26" customFormat="false" ht="15" hidden="false" customHeight="false" outlineLevel="0" collapsed="false">
      <c r="A26" s="4" t="s">
        <v>67</v>
      </c>
      <c r="B26" s="5" t="n">
        <v>0</v>
      </c>
      <c r="C26" s="7" t="n">
        <f aca="false">C39</f>
        <v>8000</v>
      </c>
      <c r="D26" s="7" t="n">
        <f aca="false">D39</f>
        <v>0</v>
      </c>
      <c r="E26" s="7" t="n">
        <f aca="false">E39</f>
        <v>-1100</v>
      </c>
      <c r="F26" s="7" t="n">
        <f aca="false">F39</f>
        <v>-1700</v>
      </c>
      <c r="G26" s="7" t="n">
        <f aca="false">G39</f>
        <v>-500</v>
      </c>
      <c r="H26" s="7" t="n">
        <f aca="false">H39</f>
        <v>-1500</v>
      </c>
      <c r="I26" s="7" t="n">
        <f aca="false">I39</f>
        <v>-1080</v>
      </c>
      <c r="J26" s="7" t="n">
        <f aca="false">SUM(B26:I26)</f>
        <v>2120</v>
      </c>
    </row>
    <row r="27" customFormat="false" ht="15" hidden="false" customHeight="false" outlineLevel="0" collapsed="false">
      <c r="A27" s="1" t="s">
        <v>68</v>
      </c>
      <c r="B27" s="13" t="n">
        <f aca="false">B25+B26</f>
        <v>10000</v>
      </c>
      <c r="C27" s="13" t="n">
        <f aca="false">C25+C26</f>
        <v>8000</v>
      </c>
      <c r="D27" s="13" t="n">
        <f aca="false">D25+D26</f>
        <v>0</v>
      </c>
      <c r="E27" s="13" t="n">
        <f aca="false">E25+E26</f>
        <v>-1100</v>
      </c>
      <c r="F27" s="13" t="n">
        <f aca="false">F25+F26</f>
        <v>-1700</v>
      </c>
      <c r="G27" s="13" t="n">
        <f aca="false">G25+G26</f>
        <v>-500</v>
      </c>
      <c r="H27" s="13" t="n">
        <f aca="false">H25+H26</f>
        <v>-1500</v>
      </c>
      <c r="I27" s="13" t="n">
        <f aca="false">I25+I26</f>
        <v>-1080</v>
      </c>
      <c r="J27" s="13" t="n">
        <f aca="false">J25+J26</f>
        <v>12120</v>
      </c>
    </row>
    <row r="28" customFormat="false" ht="15" hidden="false" customHeight="false" outlineLevel="0" collapsed="false">
      <c r="A28" s="1" t="s">
        <v>69</v>
      </c>
      <c r="B28" s="13" t="n">
        <f aca="false">B22+B27</f>
        <v>64000</v>
      </c>
      <c r="C28" s="13" t="n">
        <f aca="false">C22+C27</f>
        <v>8000</v>
      </c>
      <c r="D28" s="13" t="n">
        <f aca="false">D22+D27</f>
        <v>2000</v>
      </c>
      <c r="E28" s="13" t="n">
        <f aca="false">E22+E27</f>
        <v>-1100</v>
      </c>
      <c r="F28" s="13" t="n">
        <f aca="false">F22+F27</f>
        <v>-1700</v>
      </c>
      <c r="G28" s="13" t="n">
        <f aca="false">G22+G27</f>
        <v>0</v>
      </c>
      <c r="H28" s="13" t="n">
        <f aca="false">H22+H27</f>
        <v>-1500</v>
      </c>
      <c r="I28" s="13" t="n">
        <f aca="false">I22+I27</f>
        <v>0</v>
      </c>
      <c r="J28" s="13" t="n">
        <f aca="false">J22+J27</f>
        <v>69700</v>
      </c>
    </row>
    <row r="29" customFormat="false" ht="15" hidden="false" customHeight="false" outlineLevel="0" collapsed="false">
      <c r="A29" s="14" t="s">
        <v>70</v>
      </c>
      <c r="B29" s="7" t="n">
        <f aca="false">B13-B28</f>
        <v>0</v>
      </c>
      <c r="C29" s="7" t="n">
        <f aca="false">C13-C28</f>
        <v>0</v>
      </c>
      <c r="D29" s="7" t="n">
        <f aca="false">D13-D28</f>
        <v>0</v>
      </c>
      <c r="E29" s="7" t="n">
        <f aca="false">E13-E28</f>
        <v>0</v>
      </c>
      <c r="F29" s="7" t="n">
        <f aca="false">F13-F28</f>
        <v>0</v>
      </c>
      <c r="G29" s="7" t="n">
        <f aca="false">G13-G28</f>
        <v>0</v>
      </c>
      <c r="H29" s="7" t="n">
        <f aca="false">H13-H28</f>
        <v>0</v>
      </c>
      <c r="I29" s="7" t="n">
        <f aca="false">I13-I28</f>
        <v>0</v>
      </c>
      <c r="J29" s="7" t="n">
        <f aca="false">J13-J28</f>
        <v>0</v>
      </c>
    </row>
    <row r="31" customFormat="false" ht="15" hidden="false" customHeight="false" outlineLevel="0" collapsed="false">
      <c r="A31" s="1" t="s">
        <v>71</v>
      </c>
    </row>
    <row r="32" customFormat="false" ht="15" hidden="false" customHeight="false" outlineLevel="0" collapsed="false">
      <c r="A32" s="4" t="s">
        <v>72</v>
      </c>
      <c r="C32" s="12" t="n">
        <f aca="false">Premissas!B12</f>
        <v>8000</v>
      </c>
      <c r="J32" s="7" t="n">
        <f aca="false">SUM(B32:I32)</f>
        <v>8000</v>
      </c>
    </row>
    <row r="33" customFormat="false" ht="15" hidden="false" customHeight="false" outlineLevel="0" collapsed="false">
      <c r="A33" s="4" t="s">
        <v>73</v>
      </c>
      <c r="E33" s="12" t="n">
        <f aca="false">-Premissas!B24</f>
        <v>-1100</v>
      </c>
      <c r="J33" s="7" t="n">
        <f aca="false">SUM(B33:I33)</f>
        <v>-1100</v>
      </c>
    </row>
    <row r="34" customFormat="false" ht="15" hidden="false" customHeight="false" outlineLevel="0" collapsed="false">
      <c r="A34" s="4" t="s">
        <v>74</v>
      </c>
      <c r="G34" s="12" t="n">
        <f aca="false">-Premissas!B19</f>
        <v>-500</v>
      </c>
      <c r="J34" s="7" t="n">
        <f aca="false">SUM(B34:I34)</f>
        <v>-500</v>
      </c>
    </row>
    <row r="35" customFormat="false" ht="15" hidden="false" customHeight="false" outlineLevel="0" collapsed="false">
      <c r="A35" s="4" t="s">
        <v>75</v>
      </c>
      <c r="F35" s="12" t="n">
        <f aca="false">-Premissas!B25</f>
        <v>-1700</v>
      </c>
      <c r="J35" s="7" t="n">
        <f aca="false">SUM(B35:I35)</f>
        <v>-1700</v>
      </c>
    </row>
    <row r="36" customFormat="false" ht="15" hidden="false" customHeight="false" outlineLevel="0" collapsed="false">
      <c r="A36" s="4" t="s">
        <v>76</v>
      </c>
      <c r="H36" s="12" t="n">
        <f aca="false">-Premissas!B22</f>
        <v>-1500</v>
      </c>
      <c r="J36" s="7" t="n">
        <f aca="false">SUM(B36:I36)</f>
        <v>-1500</v>
      </c>
    </row>
    <row r="37" customFormat="false" ht="15" hidden="false" customHeight="false" outlineLevel="0" collapsed="false">
      <c r="A37" s="1" t="s">
        <v>77</v>
      </c>
      <c r="C37" s="13" t="n">
        <f aca="false">SUM(C32:C36)</f>
        <v>8000</v>
      </c>
      <c r="D37" s="13" t="n">
        <f aca="false">SUM(D32:D36)</f>
        <v>0</v>
      </c>
      <c r="E37" s="13" t="n">
        <f aca="false">SUM(E32:E36)</f>
        <v>-1100</v>
      </c>
      <c r="F37" s="13" t="n">
        <f aca="false">SUM(F32:F36)</f>
        <v>-1700</v>
      </c>
      <c r="G37" s="13" t="n">
        <f aca="false">SUM(G32:G36)</f>
        <v>-500</v>
      </c>
      <c r="H37" s="13" t="n">
        <f aca="false">SUM(H32:H36)</f>
        <v>-1500</v>
      </c>
      <c r="I37" s="13" t="n">
        <f aca="false">SUM(I32:I36)</f>
        <v>0</v>
      </c>
      <c r="J37" s="13" t="n">
        <f aca="false">SUM(J32:J36)</f>
        <v>3200</v>
      </c>
    </row>
    <row r="38" customFormat="false" ht="15" hidden="false" customHeight="false" outlineLevel="0" collapsed="false">
      <c r="A38" s="4" t="s">
        <v>78</v>
      </c>
      <c r="I38" s="12" t="n">
        <f aca="false">-Premissas!B23</f>
        <v>-1080</v>
      </c>
      <c r="J38" s="7" t="n">
        <f aca="false">SUM(B38:I38)</f>
        <v>-1080</v>
      </c>
    </row>
    <row r="39" customFormat="false" ht="15" hidden="false" customHeight="false" outlineLevel="0" collapsed="false">
      <c r="A39" s="1" t="s">
        <v>79</v>
      </c>
      <c r="C39" s="13" t="n">
        <f aca="false">C37+C38</f>
        <v>8000</v>
      </c>
      <c r="D39" s="13" t="n">
        <f aca="false">D37+D38</f>
        <v>0</v>
      </c>
      <c r="E39" s="13" t="n">
        <f aca="false">E37+E38</f>
        <v>-1100</v>
      </c>
      <c r="F39" s="13" t="n">
        <f aca="false">F37+F38</f>
        <v>-1700</v>
      </c>
      <c r="G39" s="13" t="n">
        <f aca="false">G37+G38</f>
        <v>-500</v>
      </c>
      <c r="H39" s="13" t="n">
        <f aca="false">H37+H38</f>
        <v>-1500</v>
      </c>
      <c r="I39" s="13" t="n">
        <f aca="false">I37+I38</f>
        <v>-1080</v>
      </c>
      <c r="J39" s="13" t="n">
        <f aca="false">J37+J38</f>
        <v>2120</v>
      </c>
    </row>
    <row r="40" customFormat="false" ht="15" hidden="false" customHeight="false" outlineLevel="0" collapsed="false">
      <c r="A40" s="14" t="s">
        <v>80</v>
      </c>
      <c r="J40" s="7" t="n">
        <f aca="false">J39-(J26-B26)</f>
        <v>0</v>
      </c>
    </row>
    <row r="42" customFormat="false" ht="15" hidden="false" customHeight="false" outlineLevel="0" collapsed="false">
      <c r="A42" s="1" t="s">
        <v>81</v>
      </c>
    </row>
    <row r="43" customFormat="false" ht="15" hidden="false" customHeight="false" outlineLevel="0" collapsed="false">
      <c r="A43" s="4" t="s">
        <v>82</v>
      </c>
      <c r="C43" s="12" t="n">
        <f aca="false">Premissas!B26</f>
        <v>1600</v>
      </c>
      <c r="D43" s="12" t="n">
        <f aca="false">Premissas!B14</f>
        <v>2000</v>
      </c>
      <c r="J43" s="7" t="n">
        <f aca="false">SUM(B43:I43)</f>
        <v>3600</v>
      </c>
    </row>
    <row r="44" customFormat="false" ht="15" hidden="false" customHeight="false" outlineLevel="0" collapsed="false">
      <c r="A44" s="4" t="s">
        <v>83</v>
      </c>
      <c r="E44" s="12" t="n">
        <f aca="false">-Premissas!B15</f>
        <v>-2200</v>
      </c>
      <c r="F44" s="12" t="n">
        <f aca="false">-Premissas!B17</f>
        <v>-3000</v>
      </c>
      <c r="J44" s="7" t="n">
        <f aca="false">SUM(B44:I44)</f>
        <v>-5200</v>
      </c>
    </row>
    <row r="45" customFormat="false" ht="15" hidden="false" customHeight="false" outlineLevel="0" collapsed="false">
      <c r="A45" s="1" t="s">
        <v>84</v>
      </c>
      <c r="C45" s="13" t="n">
        <f aca="false">C43+C44</f>
        <v>1600</v>
      </c>
      <c r="D45" s="13" t="n">
        <f aca="false">D43+D44</f>
        <v>2000</v>
      </c>
      <c r="E45" s="13" t="n">
        <f aca="false">E43+E44</f>
        <v>-2200</v>
      </c>
      <c r="F45" s="13" t="n">
        <f aca="false">F43+F44</f>
        <v>-3000</v>
      </c>
      <c r="G45" s="13" t="n">
        <f aca="false">G43+G44</f>
        <v>0</v>
      </c>
      <c r="H45" s="13" t="n">
        <f aca="false">H43+H44</f>
        <v>0</v>
      </c>
      <c r="I45" s="13" t="n">
        <f aca="false">I43+I44</f>
        <v>0</v>
      </c>
      <c r="J45" s="13" t="n">
        <f aca="false">J43+J44</f>
        <v>-1600</v>
      </c>
    </row>
    <row r="46" customFormat="false" ht="15" hidden="false" customHeight="false" outlineLevel="0" collapsed="false">
      <c r="A46" s="4" t="s">
        <v>85</v>
      </c>
      <c r="J46" s="7" t="n">
        <f aca="false">B5</f>
        <v>10000</v>
      </c>
    </row>
    <row r="47" customFormat="false" ht="15" hidden="false" customHeight="false" outlineLevel="0" collapsed="false">
      <c r="A47" s="1" t="s">
        <v>86</v>
      </c>
      <c r="J47" s="13" t="n">
        <f aca="false">J46+J45</f>
        <v>8400</v>
      </c>
    </row>
    <row r="48" customFormat="false" ht="15" hidden="false" customHeight="false" outlineLevel="0" collapsed="false">
      <c r="A48" s="14" t="s">
        <v>87</v>
      </c>
      <c r="J48" s="7" t="n">
        <f aca="false">J47-J5</f>
        <v>0</v>
      </c>
    </row>
    <row r="49" customFormat="false" ht="15" hidden="false" customHeight="false" outlineLevel="0" collapsed="false">
      <c r="A49" s="14" t="s">
        <v>88</v>
      </c>
      <c r="C49" s="7" t="n">
        <f aca="false">C45-C5</f>
        <v>0</v>
      </c>
      <c r="D49" s="7" t="n">
        <f aca="false">D45-D5</f>
        <v>0</v>
      </c>
      <c r="E49" s="7" t="n">
        <f aca="false">E45-E5</f>
        <v>0</v>
      </c>
      <c r="F49" s="7" t="n">
        <f aca="false">F45-F5</f>
        <v>0</v>
      </c>
      <c r="G49" s="7" t="n">
        <f aca="false">G45-G5</f>
        <v>0</v>
      </c>
      <c r="H49" s="7" t="n">
        <f aca="false">H45-H5</f>
        <v>0</v>
      </c>
      <c r="I49" s="7" t="n">
        <f aca="false">I45-I5</f>
        <v>0</v>
      </c>
      <c r="J49" s="7" t="n">
        <f aca="false">J45-(J5-B5)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2"/>
  </cols>
  <sheetData>
    <row r="1" customFormat="false" ht="15" hidden="false" customHeight="false" outlineLevel="0" collapsed="false">
      <c r="A1" s="1" t="s">
        <v>89</v>
      </c>
    </row>
    <row r="3" customFormat="false" ht="31.5" hidden="false" customHeight="true" outlineLevel="0" collapsed="false">
      <c r="B3" s="10" t="s">
        <v>90</v>
      </c>
      <c r="C3" s="10" t="s">
        <v>91</v>
      </c>
    </row>
    <row r="4" customFormat="false" ht="15" hidden="false" customHeight="false" outlineLevel="0" collapsed="false">
      <c r="A4" s="1" t="s">
        <v>92</v>
      </c>
    </row>
    <row r="5" customFormat="false" ht="15" hidden="false" customHeight="false" outlineLevel="0" collapsed="false">
      <c r="A5" s="4" t="s">
        <v>93</v>
      </c>
      <c r="B5" s="12" t="n">
        <f aca="false">Premissas!B26</f>
        <v>1600</v>
      </c>
      <c r="C5" s="12" t="n">
        <f aca="false">Premissas!B12</f>
        <v>8000</v>
      </c>
    </row>
    <row r="6" customFormat="false" ht="15" hidden="false" customHeight="false" outlineLevel="0" collapsed="false">
      <c r="A6" s="4" t="s">
        <v>94</v>
      </c>
      <c r="B6" s="12" t="n">
        <f aca="false">Premissas!B14</f>
        <v>2000</v>
      </c>
      <c r="C6" s="7" t="n">
        <v>0</v>
      </c>
    </row>
    <row r="7" customFormat="false" ht="15" hidden="false" customHeight="false" outlineLevel="0" collapsed="false">
      <c r="A7" s="1" t="s">
        <v>95</v>
      </c>
      <c r="B7" s="13" t="n">
        <f aca="false">SUM(B5:B6)</f>
        <v>3600</v>
      </c>
      <c r="C7" s="13" t="n">
        <f aca="false">SUM(C5:C6)</f>
        <v>8000</v>
      </c>
    </row>
    <row r="8" customFormat="false" ht="15" hidden="false" customHeight="false" outlineLevel="0" collapsed="false">
      <c r="A8" s="1" t="s">
        <v>96</v>
      </c>
    </row>
    <row r="9" customFormat="false" ht="15" hidden="false" customHeight="false" outlineLevel="0" collapsed="false">
      <c r="A9" s="4" t="s">
        <v>97</v>
      </c>
      <c r="B9" s="12" t="n">
        <f aca="false">-Premissas!B15</f>
        <v>-2200</v>
      </c>
      <c r="C9" s="12" t="n">
        <f aca="false">-Premissas!B24</f>
        <v>-1100</v>
      </c>
    </row>
    <row r="10" customFormat="false" ht="15" hidden="false" customHeight="false" outlineLevel="0" collapsed="false">
      <c r="A10" s="4" t="s">
        <v>98</v>
      </c>
      <c r="B10" s="7" t="n">
        <v>0</v>
      </c>
      <c r="C10" s="12" t="n">
        <f aca="false">-Premissas!B19</f>
        <v>-500</v>
      </c>
    </row>
    <row r="11" customFormat="false" ht="15" hidden="false" customHeight="false" outlineLevel="0" collapsed="false">
      <c r="A11" s="4" t="s">
        <v>99</v>
      </c>
      <c r="B11" s="12" t="n">
        <f aca="false">-Premissas!B17</f>
        <v>-3000</v>
      </c>
      <c r="C11" s="12" t="n">
        <f aca="false">-Premissas!B25</f>
        <v>-1700</v>
      </c>
    </row>
    <row r="12" customFormat="false" ht="15" hidden="false" customHeight="false" outlineLevel="0" collapsed="false">
      <c r="A12" s="4" t="s">
        <v>100</v>
      </c>
      <c r="B12" s="7" t="n">
        <v>0</v>
      </c>
      <c r="C12" s="12" t="n">
        <f aca="false">-Premissas!B22</f>
        <v>-1500</v>
      </c>
    </row>
    <row r="13" customFormat="false" ht="15" hidden="false" customHeight="false" outlineLevel="0" collapsed="false">
      <c r="A13" s="4" t="s">
        <v>101</v>
      </c>
      <c r="B13" s="7" t="n">
        <v>0</v>
      </c>
      <c r="C13" s="12" t="n">
        <f aca="false">-Premissas!B23</f>
        <v>-1080</v>
      </c>
    </row>
    <row r="14" customFormat="false" ht="15" hidden="false" customHeight="false" outlineLevel="0" collapsed="false">
      <c r="A14" s="1" t="s">
        <v>95</v>
      </c>
      <c r="B14" s="13" t="n">
        <f aca="false">SUM(B9:B13)</f>
        <v>-5200</v>
      </c>
      <c r="C14" s="13" t="n">
        <f aca="false">SUM(C9:C13)</f>
        <v>-5880</v>
      </c>
    </row>
    <row r="15" customFormat="false" ht="15" hidden="false" customHeight="false" outlineLevel="0" collapsed="false">
      <c r="A15" s="1" t="s">
        <v>102</v>
      </c>
      <c r="B15" s="13" t="n">
        <f aca="false">B7+B14</f>
        <v>-1600</v>
      </c>
      <c r="C15" s="13" t="n">
        <f aca="false">C7+C14</f>
        <v>2120</v>
      </c>
    </row>
    <row r="17" customFormat="false" ht="15" hidden="false" customHeight="false" outlineLevel="0" collapsed="false">
      <c r="A17" s="14" t="s">
        <v>103</v>
      </c>
      <c r="B17" s="12" t="n">
        <f aca="false">B15-Transacoes!J45</f>
        <v>0</v>
      </c>
      <c r="C17" s="12" t="n">
        <f aca="false">C15-Transacoes!J39</f>
        <v>0</v>
      </c>
    </row>
    <row r="19" customFormat="false" ht="15" hidden="false" customHeight="false" outlineLevel="0" collapsed="false">
      <c r="A19" s="14" t="s">
        <v>104</v>
      </c>
      <c r="C19" s="7" t="n">
        <f aca="false">C15-B15</f>
        <v>3720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105</v>
      </c>
    </row>
    <row r="3" customFormat="false" ht="15" hidden="false" customHeight="false" outlineLevel="0" collapsed="false">
      <c r="A3" s="1" t="s">
        <v>106</v>
      </c>
      <c r="B3" s="15" t="n">
        <f aca="false">Transacoes!J39</f>
        <v>2120</v>
      </c>
    </row>
    <row r="4" customFormat="false" ht="15" hidden="false" customHeight="false" outlineLevel="0" collapsed="false">
      <c r="A4" s="14" t="s">
        <v>107</v>
      </c>
    </row>
    <row r="5" customFormat="false" ht="15" hidden="false" customHeight="false" outlineLevel="0" collapsed="false">
      <c r="A5" s="4" t="s">
        <v>108</v>
      </c>
      <c r="B5" s="12" t="n">
        <f aca="false">-Transacoes!J36</f>
        <v>1500</v>
      </c>
    </row>
    <row r="6" customFormat="false" ht="15" hidden="false" customHeight="false" outlineLevel="0" collapsed="false">
      <c r="A6" s="4" t="s">
        <v>109</v>
      </c>
      <c r="B6" s="12" t="n">
        <f aca="false">Transacoes!J20-Transacoes!B20</f>
        <v>1080</v>
      </c>
    </row>
    <row r="7" customFormat="false" ht="15" hidden="false" customHeight="false" outlineLevel="0" collapsed="false">
      <c r="A7" s="14" t="s">
        <v>110</v>
      </c>
    </row>
    <row r="8" customFormat="false" ht="15" hidden="false" customHeight="false" outlineLevel="0" collapsed="false">
      <c r="A8" s="4" t="s">
        <v>111</v>
      </c>
      <c r="B8" s="12" t="n">
        <f aca="false">-(Transacoes!J6-Transacoes!B6)</f>
        <v>-6400</v>
      </c>
    </row>
    <row r="9" customFormat="false" ht="15" hidden="false" customHeight="false" outlineLevel="0" collapsed="false">
      <c r="A9" s="4" t="s">
        <v>112</v>
      </c>
      <c r="B9" s="12" t="n">
        <f aca="false">-(Transacoes!J7-Transacoes!B7)</f>
        <v>-1300</v>
      </c>
    </row>
    <row r="10" customFormat="false" ht="15" hidden="false" customHeight="false" outlineLevel="0" collapsed="false">
      <c r="A10" s="4" t="s">
        <v>113</v>
      </c>
      <c r="B10" s="12" t="n">
        <f aca="false">-(Transacoes!J8-Transacoes!B8)</f>
        <v>-1100</v>
      </c>
    </row>
    <row r="11" customFormat="false" ht="15" hidden="false" customHeight="false" outlineLevel="0" collapsed="false">
      <c r="A11" s="4" t="s">
        <v>114</v>
      </c>
      <c r="B11" s="12" t="n">
        <f aca="false">Transacoes!J16-Transacoes!B16</f>
        <v>500</v>
      </c>
    </row>
    <row r="12" customFormat="false" ht="15" hidden="false" customHeight="false" outlineLevel="0" collapsed="false">
      <c r="A12" s="4" t="s">
        <v>115</v>
      </c>
      <c r="B12" s="12" t="n">
        <f aca="false">Transacoes!J17-Transacoes!B17</f>
        <v>2000</v>
      </c>
    </row>
    <row r="13" customFormat="false" ht="15" hidden="false" customHeight="false" outlineLevel="0" collapsed="false">
      <c r="A13" s="1" t="s">
        <v>116</v>
      </c>
      <c r="B13" s="13" t="n">
        <f aca="false">SUM(B3:B12)</f>
        <v>-1600</v>
      </c>
    </row>
    <row r="14" customFormat="false" ht="15" hidden="false" customHeight="false" outlineLevel="0" collapsed="false">
      <c r="A14" s="4" t="s">
        <v>117</v>
      </c>
      <c r="B14" s="5" t="n">
        <v>0</v>
      </c>
    </row>
    <row r="15" customFormat="false" ht="15" hidden="false" customHeight="false" outlineLevel="0" collapsed="false">
      <c r="A15" s="4" t="s">
        <v>118</v>
      </c>
      <c r="B15" s="5" t="n">
        <v>0</v>
      </c>
    </row>
    <row r="16" customFormat="false" ht="15" hidden="false" customHeight="false" outlineLevel="0" collapsed="false">
      <c r="A16" s="1" t="s">
        <v>119</v>
      </c>
      <c r="B16" s="13" t="n">
        <f aca="false">B13+B14+B15</f>
        <v>-1600</v>
      </c>
    </row>
    <row r="17" customFormat="false" ht="15" hidden="false" customHeight="false" outlineLevel="0" collapsed="false">
      <c r="A17" s="4" t="s">
        <v>120</v>
      </c>
      <c r="B17" s="12" t="n">
        <f aca="false">Transacoes!J45</f>
        <v>-1600</v>
      </c>
    </row>
    <row r="18" customFormat="false" ht="15" hidden="false" customHeight="false" outlineLevel="0" collapsed="false">
      <c r="A18" s="14" t="s">
        <v>121</v>
      </c>
      <c r="B18" s="7" t="n">
        <f aca="false">B16-B17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2026-08-19T14:21:40Z</dcterms:created>
  <dc:creator>openpyxl</dc:creator>
  <dc:description/>
  <dc:language>pt-BR</dc:language>
  <cp:lastModifiedBy/>
  <dcterms:modified xsi:type="dcterms:W3CDTF">2026-08-19T14:21:40Z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