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Respos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<sst xmlns="http://schemas.openxmlformats.org/spreadsheetml/2006/main" count="45" uniqueCount="44">
  <si>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Transações, por Número e Descrição</t>
  </si>
  <si>
    <t xml:space="preserve">Balanço Patrimonial</t>
  </si>
  <si>
    <t xml:space="preserve">Balanço Inicial</t>
  </si>
  <si>
    <t xml:space="preserve">Balanço Final</t>
  </si>
  <si>
    <t xml:space="preserve">ATIVO</t>
  </si>
  <si>
    <t xml:space="preserve">Ativo Circulante</t>
  </si>
  <si>
    <t xml:space="preserve">Caixa</t>
  </si>
  <si>
    <t xml:space="preserve">Estoque</t>
  </si>
  <si>
    <t xml:space="preserve">Contas a Receber</t>
  </si>
  <si>
    <t xml:space="preserve">Ativo Não Circulante</t>
  </si>
  <si>
    <t xml:space="preserve">Imobilizado</t>
  </si>
  <si>
    <t xml:space="preserve">  Total do Ativo</t>
  </si>
  <si>
    <t xml:space="preserve">PASSIVO E PATRIM. LÍQUIDO </t>
  </si>
  <si>
    <t xml:space="preserve">Passivo Circulante:</t>
  </si>
  <si>
    <t xml:space="preserve">Dividendos a Pagar</t>
  </si>
  <si>
    <t xml:space="preserve">Contas a Pagar</t>
  </si>
  <si>
    <t xml:space="preserve">Passivo Não Circulante:</t>
  </si>
  <si>
    <t xml:space="preserve">Emprestimos </t>
  </si>
  <si>
    <t xml:space="preserve">Patrimônio Líquido:</t>
  </si>
  <si>
    <t xml:space="preserve">Capital Social</t>
  </si>
  <si>
    <t xml:space="preserve">Lucro Acumulado</t>
  </si>
  <si>
    <t xml:space="preserve">(-) Dividendos Distribuídos</t>
  </si>
  <si>
    <t xml:space="preserve">Total Passivo e Patrim. Líquido</t>
  </si>
  <si>
    <t xml:space="preserve">Diferença, se houver</t>
  </si>
  <si>
    <t xml:space="preserve">Demonstração do Resultado</t>
  </si>
  <si>
    <t xml:space="preserve">Mês 1</t>
  </si>
  <si>
    <t xml:space="preserve">Receita de Vendas</t>
  </si>
  <si>
    <t xml:space="preserve">(-) Custos das Mercadorias Vendidas</t>
  </si>
  <si>
    <t xml:space="preserve">     (=) Lucro Bruto</t>
  </si>
  <si>
    <t xml:space="preserve">(-) Despesas Operacionais</t>
  </si>
  <si>
    <t xml:space="preserve">     (=) Lucro EBIT e Lucro Líquido</t>
  </si>
  <si>
    <t xml:space="preserve">FLUXO DE CAIXA</t>
  </si>
  <si>
    <t xml:space="preserve">OPERAÇÕES</t>
  </si>
  <si>
    <t xml:space="preserve">Pagamento a Fornecedores</t>
  </si>
  <si>
    <t xml:space="preserve">Recebimento de Clientes</t>
  </si>
  <si>
    <t xml:space="preserve">Despesas administrativas/Operacionais</t>
  </si>
  <si>
    <t xml:space="preserve">INVESTIMENTOS</t>
  </si>
  <si>
    <t xml:space="preserve">Aquisição de Imobilizado</t>
  </si>
  <si>
    <t xml:space="preserve">FINANCIAMENTOS</t>
  </si>
  <si>
    <t xml:space="preserve">Ingresso de Capital</t>
  </si>
  <si>
    <t xml:space="preserve">Emprestimos</t>
  </si>
  <si>
    <t xml:space="preserve">VARIAÇÃO NO CAIXA</t>
  </si>
  <si>
    <t xml:space="preserve">    Saldo inicial</t>
  </si>
  <si>
    <t xml:space="preserve">    Saldo final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</si>
</sst>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6DCE4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A8"/>
        <bgColor rgb="FFFFF2CC"/>
      </patternFill>
    </fill>
    <fill>
      <patternFill patternType="solid">
        <fgColor rgb="FFFFF2CC"/>
        <bgColor rgb="FFFCE4D6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/>
      <bottom/>
      <diagonal/>
    </border>
    <border diagonalUp="false" diagonalDown="false">
      <left style="thick">
        <color rgb="FF1F3864"/>
      </left>
      <right/>
      <top style="thick">
        <color rgb="FF1F3864"/>
      </top>
      <bottom style="thin">
        <color rgb="FF808080"/>
      </bottom>
      <diagonal/>
    </border>
    <border diagonalUp="false" diagonalDown="false">
      <left style="medium">
        <color rgb="FF1F3864"/>
      </left>
      <right style="medium">
        <color rgb="FF1F3864"/>
      </right>
      <top style="thick">
        <color rgb="FF1F3864"/>
      </top>
      <bottom/>
      <diagonal/>
    </border>
    <border diagonalUp="false" diagonalDown="false">
      <left/>
      <right style="thin">
        <color rgb="FF808080"/>
      </right>
      <top style="thick">
        <color rgb="FF1F3864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1F3864"/>
      </top>
      <bottom/>
      <diagonal/>
    </border>
    <border diagonalUp="false" diagonalDown="false">
      <left style="thin">
        <color rgb="FF808080"/>
      </left>
      <right/>
      <top style="thick">
        <color rgb="FF1F3864"/>
      </top>
      <bottom/>
      <diagonal/>
    </border>
    <border diagonalUp="false" diagonalDown="false">
      <left style="thick">
        <color rgb="FF1F3864"/>
      </left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thick">
        <color rgb="FF1F3864"/>
      </left>
      <right/>
      <top style="thin"/>
      <bottom style="thin"/>
      <diagonal/>
    </border>
    <border diagonalUp="false" diagonalDown="false">
      <left style="thick">
        <color rgb="FF1F3864"/>
      </left>
      <right/>
      <top/>
      <bottom style="thick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 style="thin">
        <color rgb="FFBFBFBF"/>
      </top>
      <bottom style="thick">
        <color rgb="FF1F3864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ck">
        <color rgb="FF1F3864"/>
      </bottom>
      <diagonal/>
    </border>
    <border diagonalUp="false" diagonalDown="false">
      <left style="thick">
        <color rgb="FF1F3864"/>
      </left>
      <right/>
      <top style="thin"/>
      <bottom style="thick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ck">
        <color rgb="FF1F3864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ck">
        <color rgb="FF1F3864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8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8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2A8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57"/>
  <sheetViews>
    <sheetView showFormulas="false" showGridLines="true" showRowColHeaders="true" showZeros="true" rightToLeft="false" tabSelected="true" showOutlineSymbols="true" defaultGridColor="true" view="normal" topLeftCell="A1" colorId="64" zoomScale="20" zoomScaleNormal="2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M22" activeCellId="0" sqref="M22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.83"/>
    <col collapsed="false" customWidth="true" hidden="false" outlineLevel="0" max="13" min="3" style="0" width="11.33"/>
  </cols>
  <sheetData>
    <row r="1" customFormat="false" ht="15.75" hidden="false" customHeight="true" outlineLevel="0" collapsed="false">
      <c r="B1" s="1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2"/>
    </row>
    <row r="2" customFormat="false" ht="15.75" hidden="false" customHeight="true" outlineLevel="0" collapsed="false">
      <c r="B2" s="5" t="s">
        <v>1</v>
      </c>
      <c r="C2" s="6" t="s">
        <v>2</v>
      </c>
      <c r="D2" s="7" t="n">
        <v>1</v>
      </c>
      <c r="E2" s="8" t="n">
        <v>2</v>
      </c>
      <c r="F2" s="8" t="n">
        <v>3</v>
      </c>
      <c r="G2" s="8" t="n">
        <v>4</v>
      </c>
      <c r="H2" s="8" t="n">
        <v>5</v>
      </c>
      <c r="I2" s="8" t="n">
        <v>6</v>
      </c>
      <c r="J2" s="8" t="n">
        <v>7</v>
      </c>
      <c r="K2" s="8" t="n">
        <v>8</v>
      </c>
      <c r="L2" s="9" t="n">
        <v>9</v>
      </c>
      <c r="M2" s="6" t="s">
        <v>3</v>
      </c>
    </row>
    <row r="3" customFormat="false" ht="15" hidden="false" customHeight="false" outlineLevel="0" collapsed="false">
      <c r="B3" s="10" t="s">
        <v>4</v>
      </c>
      <c r="C3" s="11"/>
      <c r="D3" s="12"/>
      <c r="E3" s="13"/>
      <c r="F3" s="13"/>
      <c r="G3" s="13"/>
      <c r="H3" s="13"/>
      <c r="I3" s="13"/>
      <c r="J3" s="13"/>
      <c r="K3" s="13"/>
      <c r="L3" s="14"/>
      <c r="M3" s="11"/>
    </row>
    <row r="4" customFormat="false" ht="15" hidden="false" customHeight="false" outlineLevel="0" collapsed="false">
      <c r="B4" s="10" t="s">
        <v>5</v>
      </c>
      <c r="C4" s="11"/>
      <c r="D4" s="12"/>
      <c r="E4" s="13"/>
      <c r="F4" s="13"/>
      <c r="G4" s="13"/>
      <c r="H4" s="13"/>
      <c r="I4" s="13"/>
      <c r="J4" s="13"/>
      <c r="K4" s="13"/>
      <c r="L4" s="14"/>
      <c r="M4" s="11"/>
    </row>
    <row r="5" customFormat="false" ht="15" hidden="false" customHeight="false" outlineLevel="0" collapsed="false">
      <c r="B5" s="15" t="s">
        <v>6</v>
      </c>
      <c r="C5" s="16"/>
      <c r="D5" s="17" t="n">
        <v>120000</v>
      </c>
      <c r="E5" s="18" t="n">
        <v>-42000</v>
      </c>
      <c r="F5" s="18" t="n">
        <v>-32000</v>
      </c>
      <c r="G5" s="18" t="n">
        <v>60000</v>
      </c>
      <c r="H5" s="18" t="n">
        <v>-14000</v>
      </c>
      <c r="I5" s="18" t="n">
        <v>-8000</v>
      </c>
      <c r="J5" s="19" t="n">
        <v>-12000</v>
      </c>
      <c r="K5" s="18" t="n">
        <v>40000</v>
      </c>
      <c r="L5" s="20"/>
      <c r="M5" s="16" t="n">
        <f aca="false">SUM(C5:L5)</f>
        <v>112000</v>
      </c>
    </row>
    <row r="6" customFormat="false" ht="15" hidden="false" customHeight="false" outlineLevel="0" collapsed="false">
      <c r="B6" s="15" t="s">
        <v>7</v>
      </c>
      <c r="C6" s="16"/>
      <c r="D6" s="17"/>
      <c r="E6" s="18"/>
      <c r="F6" s="18" t="n">
        <v>80000</v>
      </c>
      <c r="G6" s="18" t="n">
        <f aca="false">-F6*70%</f>
        <v>-56000</v>
      </c>
      <c r="H6" s="18"/>
      <c r="I6" s="18"/>
      <c r="J6" s="18"/>
      <c r="K6" s="18"/>
      <c r="L6" s="20"/>
      <c r="M6" s="16" t="n">
        <f aca="false">SUM(C6:L6)</f>
        <v>24000</v>
      </c>
    </row>
    <row r="7" customFormat="false" ht="15" hidden="false" customHeight="false" outlineLevel="0" collapsed="false">
      <c r="B7" s="15" t="s">
        <v>8</v>
      </c>
      <c r="C7" s="16"/>
      <c r="D7" s="17"/>
      <c r="E7" s="18"/>
      <c r="F7" s="18"/>
      <c r="G7" s="18" t="n">
        <v>38000</v>
      </c>
      <c r="H7" s="18"/>
      <c r="I7" s="18"/>
      <c r="J7" s="18"/>
      <c r="K7" s="18"/>
      <c r="L7" s="20"/>
      <c r="M7" s="16" t="n">
        <f aca="false">SUM(C7:L7)</f>
        <v>38000</v>
      </c>
    </row>
    <row r="8" customFormat="false" ht="15" hidden="false" customHeight="false" outlineLevel="0" collapsed="false">
      <c r="B8" s="15"/>
      <c r="C8" s="16"/>
      <c r="D8" s="17"/>
      <c r="E8" s="18"/>
      <c r="F8" s="18"/>
      <c r="G8" s="18"/>
      <c r="H8" s="18"/>
      <c r="I8" s="18"/>
      <c r="J8" s="18"/>
      <c r="K8" s="18"/>
      <c r="L8" s="20"/>
      <c r="M8" s="16" t="n">
        <f aca="false">SUM(C8:L8)</f>
        <v>0</v>
      </c>
    </row>
    <row r="9" customFormat="false" ht="15" hidden="false" customHeight="false" outlineLevel="0" collapsed="false">
      <c r="B9" s="15"/>
      <c r="C9" s="16"/>
      <c r="D9" s="17"/>
      <c r="E9" s="18"/>
      <c r="F9" s="18"/>
      <c r="G9" s="18"/>
      <c r="H9" s="18"/>
      <c r="I9" s="18"/>
      <c r="J9" s="18"/>
      <c r="K9" s="18"/>
      <c r="L9" s="20"/>
      <c r="M9" s="16" t="n">
        <f aca="false">SUM(C9:L9)</f>
        <v>0</v>
      </c>
    </row>
    <row r="10" customFormat="false" ht="15" hidden="false" customHeight="false" outlineLevel="0" collapsed="false">
      <c r="B10" s="10" t="s">
        <v>9</v>
      </c>
      <c r="C10" s="11"/>
      <c r="D10" s="12"/>
      <c r="E10" s="13"/>
      <c r="F10" s="13"/>
      <c r="G10" s="13"/>
      <c r="H10" s="13"/>
      <c r="I10" s="13"/>
      <c r="J10" s="13"/>
      <c r="K10" s="13"/>
      <c r="L10" s="14"/>
      <c r="M10" s="11"/>
    </row>
    <row r="11" customFormat="false" ht="15" hidden="false" customHeight="false" outlineLevel="0" collapsed="false">
      <c r="B11" s="15" t="s">
        <v>10</v>
      </c>
      <c r="C11" s="16"/>
      <c r="D11" s="17"/>
      <c r="E11" s="18" t="n">
        <v>42000</v>
      </c>
      <c r="F11" s="18"/>
      <c r="G11" s="18"/>
      <c r="H11" s="18"/>
      <c r="I11" s="18"/>
      <c r="J11" s="18"/>
      <c r="K11" s="18"/>
      <c r="L11" s="20"/>
      <c r="M11" s="16" t="n">
        <f aca="false">SUM(C11:L11)</f>
        <v>42000</v>
      </c>
    </row>
    <row r="12" customFormat="false" ht="15" hidden="false" customHeight="false" outlineLevel="0" collapsed="false">
      <c r="B12" s="15"/>
      <c r="C12" s="16"/>
      <c r="D12" s="17"/>
      <c r="E12" s="18"/>
      <c r="F12" s="18"/>
      <c r="G12" s="18"/>
      <c r="H12" s="18"/>
      <c r="I12" s="18"/>
      <c r="J12" s="18"/>
      <c r="K12" s="18"/>
      <c r="L12" s="20"/>
      <c r="M12" s="16" t="n">
        <f aca="false">SUM(C12:L12)</f>
        <v>0</v>
      </c>
    </row>
    <row r="13" customFormat="false" ht="15" hidden="false" customHeight="false" outlineLevel="0" collapsed="false">
      <c r="B13" s="15"/>
      <c r="C13" s="16"/>
      <c r="D13" s="17"/>
      <c r="E13" s="18"/>
      <c r="F13" s="18"/>
      <c r="G13" s="18"/>
      <c r="H13" s="18"/>
      <c r="I13" s="18"/>
      <c r="J13" s="18"/>
      <c r="K13" s="18"/>
      <c r="L13" s="20"/>
      <c r="M13" s="16" t="n">
        <f aca="false">SUM(C13:L13)</f>
        <v>0</v>
      </c>
    </row>
    <row r="14" customFormat="false" ht="15" hidden="false" customHeight="false" outlineLevel="0" collapsed="false">
      <c r="B14" s="21" t="s">
        <v>11</v>
      </c>
      <c r="C14" s="22" t="n">
        <f aca="false">SUM(C3:C13)</f>
        <v>0</v>
      </c>
      <c r="D14" s="22" t="n">
        <f aca="false">SUM(D3:D13)</f>
        <v>120000</v>
      </c>
      <c r="E14" s="22" t="n">
        <f aca="false">SUM(E3:E13)</f>
        <v>0</v>
      </c>
      <c r="F14" s="22" t="n">
        <f aca="false">SUM(F3:F13)</f>
        <v>48000</v>
      </c>
      <c r="G14" s="22" t="n">
        <f aca="false">SUM(G3:G13)</f>
        <v>42000</v>
      </c>
      <c r="H14" s="22" t="n">
        <f aca="false">SUM(H3:H13)</f>
        <v>-14000</v>
      </c>
      <c r="I14" s="22" t="n">
        <f aca="false">SUM(I3:I13)</f>
        <v>-8000</v>
      </c>
      <c r="J14" s="22" t="n">
        <f aca="false">SUM(J3:J13)</f>
        <v>-12000</v>
      </c>
      <c r="K14" s="22" t="n">
        <f aca="false">SUM(K3:K13)</f>
        <v>40000</v>
      </c>
      <c r="L14" s="22" t="n">
        <f aca="false">SUM(L3:L13)</f>
        <v>0</v>
      </c>
      <c r="M14" s="22" t="n">
        <f aca="false">SUM(M3:M13)</f>
        <v>216000</v>
      </c>
    </row>
    <row r="15" customFormat="false" ht="15" hidden="false" customHeight="false" outlineLevel="0" collapsed="false">
      <c r="B15" s="10" t="s">
        <v>12</v>
      </c>
      <c r="C15" s="11"/>
      <c r="D15" s="12"/>
      <c r="E15" s="13"/>
      <c r="F15" s="13"/>
      <c r="G15" s="13"/>
      <c r="H15" s="13"/>
      <c r="I15" s="13"/>
      <c r="J15" s="13"/>
      <c r="K15" s="13"/>
      <c r="L15" s="14"/>
      <c r="M15" s="11"/>
    </row>
    <row r="16" customFormat="false" ht="15" hidden="false" customHeight="false" outlineLevel="0" collapsed="false">
      <c r="B16" s="10" t="s">
        <v>13</v>
      </c>
      <c r="C16" s="11"/>
      <c r="D16" s="12"/>
      <c r="E16" s="13"/>
      <c r="F16" s="13"/>
      <c r="G16" s="13"/>
      <c r="H16" s="13"/>
      <c r="I16" s="13"/>
      <c r="J16" s="13"/>
      <c r="K16" s="13"/>
      <c r="L16" s="14"/>
      <c r="M16" s="11"/>
    </row>
    <row r="17" customFormat="false" ht="15" hidden="false" customHeight="false" outlineLevel="0" collapsed="false">
      <c r="B17" s="15" t="s">
        <v>14</v>
      </c>
      <c r="C17" s="16"/>
      <c r="D17" s="17"/>
      <c r="E17" s="18"/>
      <c r="F17" s="18"/>
      <c r="G17" s="18"/>
      <c r="H17" s="18"/>
      <c r="I17" s="18"/>
      <c r="J17" s="18"/>
      <c r="L17" s="18" t="n">
        <v>6000</v>
      </c>
      <c r="M17" s="16" t="n">
        <f aca="false">SUM(C17:L17)</f>
        <v>6000</v>
      </c>
    </row>
    <row r="18" customFormat="false" ht="15" hidden="false" customHeight="false" outlineLevel="0" collapsed="false">
      <c r="B18" s="15" t="s">
        <v>15</v>
      </c>
      <c r="C18" s="16"/>
      <c r="D18" s="17"/>
      <c r="E18" s="18"/>
      <c r="F18" s="18" t="n">
        <f aca="false">48000</f>
        <v>48000</v>
      </c>
      <c r="G18" s="18"/>
      <c r="H18" s="18"/>
      <c r="I18" s="18"/>
      <c r="J18" s="18" t="n">
        <v>-12000</v>
      </c>
      <c r="K18" s="18"/>
      <c r="L18" s="20"/>
      <c r="M18" s="16" t="n">
        <f aca="false">SUM(C18:L18)</f>
        <v>36000</v>
      </c>
    </row>
    <row r="19" customFormat="false" ht="15" hidden="false" customHeight="false" outlineLevel="0" collapsed="false">
      <c r="B19" s="15"/>
      <c r="C19" s="16"/>
      <c r="D19" s="17"/>
      <c r="E19" s="18"/>
      <c r="F19" s="18"/>
      <c r="G19" s="18"/>
      <c r="H19" s="18"/>
      <c r="I19" s="18"/>
      <c r="J19" s="18"/>
      <c r="K19" s="18"/>
      <c r="L19" s="20"/>
      <c r="M19" s="16" t="n">
        <f aca="false">SUM(C19:L19)</f>
        <v>0</v>
      </c>
    </row>
    <row r="20" customFormat="false" ht="15" hidden="false" customHeight="false" outlineLevel="0" collapsed="false">
      <c r="B20" s="10" t="s">
        <v>16</v>
      </c>
      <c r="C20" s="11"/>
      <c r="D20" s="12"/>
      <c r="E20" s="13"/>
      <c r="F20" s="13"/>
      <c r="G20" s="13"/>
      <c r="H20" s="13"/>
      <c r="I20" s="13"/>
      <c r="J20" s="13"/>
      <c r="K20" s="13"/>
      <c r="L20" s="14"/>
      <c r="M20" s="14"/>
    </row>
    <row r="21" customFormat="false" ht="15" hidden="false" customHeight="false" outlineLevel="0" collapsed="false">
      <c r="B21" s="15" t="s">
        <v>17</v>
      </c>
      <c r="C21" s="16"/>
      <c r="D21" s="17"/>
      <c r="E21" s="18"/>
      <c r="F21" s="18"/>
      <c r="G21" s="18"/>
      <c r="H21" s="18"/>
      <c r="I21" s="18"/>
      <c r="K21" s="18" t="n">
        <v>40000</v>
      </c>
      <c r="L21" s="20"/>
      <c r="M21" s="16" t="n">
        <f aca="false">SUM(C21:L21)</f>
        <v>40000</v>
      </c>
    </row>
    <row r="22" customFormat="false" ht="15" hidden="false" customHeight="false" outlineLevel="0" collapsed="false">
      <c r="B22" s="15"/>
      <c r="C22" s="16"/>
      <c r="D22" s="17"/>
      <c r="E22" s="18"/>
      <c r="F22" s="18"/>
      <c r="G22" s="18"/>
      <c r="H22" s="18"/>
      <c r="I22" s="18"/>
      <c r="J22" s="18"/>
      <c r="K22" s="18"/>
      <c r="L22" s="20"/>
      <c r="M22" s="16" t="n">
        <f aca="false">SUM(C22:L22)</f>
        <v>0</v>
      </c>
    </row>
    <row r="23" customFormat="false" ht="15" hidden="false" customHeight="false" outlineLevel="0" collapsed="false">
      <c r="B23" s="10" t="s">
        <v>18</v>
      </c>
      <c r="C23" s="11"/>
      <c r="D23" s="12"/>
      <c r="E23" s="13"/>
      <c r="F23" s="13"/>
      <c r="G23" s="13"/>
      <c r="H23" s="13"/>
      <c r="I23" s="13"/>
      <c r="J23" s="13"/>
      <c r="K23" s="13"/>
      <c r="L23" s="14"/>
      <c r="M23" s="14"/>
    </row>
    <row r="24" customFormat="false" ht="15" hidden="false" customHeight="false" outlineLevel="0" collapsed="false">
      <c r="B24" s="15" t="s">
        <v>19</v>
      </c>
      <c r="C24" s="16"/>
      <c r="D24" s="17" t="n">
        <v>120000</v>
      </c>
      <c r="E24" s="18"/>
      <c r="F24" s="18"/>
      <c r="G24" s="18"/>
      <c r="H24" s="18"/>
      <c r="I24" s="18"/>
      <c r="J24" s="18"/>
      <c r="K24" s="18"/>
      <c r="L24" s="20"/>
      <c r="M24" s="16" t="n">
        <f aca="false">SUM(C24:L24)</f>
        <v>120000</v>
      </c>
    </row>
    <row r="25" customFormat="false" ht="15" hidden="false" customHeight="false" outlineLevel="0" collapsed="false">
      <c r="B25" s="15" t="s">
        <v>20</v>
      </c>
      <c r="C25" s="16"/>
      <c r="D25" s="17"/>
      <c r="E25" s="18"/>
      <c r="F25" s="18"/>
      <c r="G25" s="18" t="n">
        <v>42000</v>
      </c>
      <c r="H25" s="18" t="n">
        <v>-14000</v>
      </c>
      <c r="I25" s="18" t="n">
        <f aca="false">-8000</f>
        <v>-8000</v>
      </c>
      <c r="J25" s="18"/>
      <c r="K25" s="18"/>
      <c r="L25" s="20"/>
      <c r="M25" s="16" t="n">
        <f aca="false">SUM(C25:L25)</f>
        <v>20000</v>
      </c>
    </row>
    <row r="26" customFormat="false" ht="15" hidden="false" customHeight="false" outlineLevel="0" collapsed="false">
      <c r="B26" s="23" t="s">
        <v>21</v>
      </c>
      <c r="C26" s="16"/>
      <c r="D26" s="17"/>
      <c r="E26" s="18"/>
      <c r="F26" s="18"/>
      <c r="G26" s="18"/>
      <c r="H26" s="18"/>
      <c r="I26" s="18"/>
      <c r="J26" s="18"/>
      <c r="K26" s="18"/>
      <c r="L26" s="20" t="n">
        <v>-6000</v>
      </c>
      <c r="M26" s="16" t="n">
        <f aca="false">SUM(C26:L26)</f>
        <v>-6000</v>
      </c>
    </row>
    <row r="27" customFormat="false" ht="15" hidden="false" customHeight="false" outlineLevel="0" collapsed="false">
      <c r="B27" s="21" t="s">
        <v>22</v>
      </c>
      <c r="C27" s="22" t="n">
        <f aca="false">SUM(C15:C26)</f>
        <v>0</v>
      </c>
      <c r="D27" s="22" t="n">
        <f aca="false">SUM(D15:D26)</f>
        <v>120000</v>
      </c>
      <c r="E27" s="22" t="n">
        <f aca="false">SUM(E15:E26)</f>
        <v>0</v>
      </c>
      <c r="F27" s="22" t="n">
        <f aca="false">SUM(F15:F26)</f>
        <v>48000</v>
      </c>
      <c r="G27" s="22" t="n">
        <f aca="false">SUM(G15:G26)</f>
        <v>42000</v>
      </c>
      <c r="H27" s="22" t="n">
        <f aca="false">SUM(H15:H26)</f>
        <v>-14000</v>
      </c>
      <c r="I27" s="22" t="n">
        <f aca="false">SUM(I15:I26)</f>
        <v>-8000</v>
      </c>
      <c r="J27" s="22" t="n">
        <f aca="false">SUM(J15:J26)</f>
        <v>-12000</v>
      </c>
      <c r="K27" s="22" t="n">
        <f aca="false">SUM(K15:K26)</f>
        <v>40000</v>
      </c>
      <c r="L27" s="22" t="n">
        <f aca="false">SUM(L15:L26)</f>
        <v>0</v>
      </c>
      <c r="M27" s="22" t="n">
        <f aca="false">SUM(M15:M26)</f>
        <v>216000</v>
      </c>
    </row>
    <row r="28" customFormat="false" ht="15" hidden="false" customHeight="false" outlineLevel="0" collapsed="false">
      <c r="B28" s="24"/>
      <c r="C28" s="16"/>
      <c r="D28" s="17"/>
      <c r="E28" s="18"/>
      <c r="F28" s="18"/>
      <c r="G28" s="18"/>
      <c r="H28" s="18"/>
      <c r="I28" s="18"/>
      <c r="J28" s="18"/>
      <c r="K28" s="18"/>
      <c r="L28" s="20"/>
      <c r="M28" s="16"/>
    </row>
    <row r="29" customFormat="false" ht="15.75" hidden="false" customHeight="true" outlineLevel="0" collapsed="false">
      <c r="B29" s="25" t="s">
        <v>23</v>
      </c>
      <c r="C29" s="26"/>
      <c r="D29" s="27" t="n">
        <f aca="false">D27-D14</f>
        <v>0</v>
      </c>
      <c r="E29" s="27" t="n">
        <f aca="false">E27-E14</f>
        <v>0</v>
      </c>
      <c r="F29" s="27" t="n">
        <f aca="false">F27-F14</f>
        <v>0</v>
      </c>
      <c r="G29" s="27" t="n">
        <f aca="false">G27-G14</f>
        <v>0</v>
      </c>
      <c r="H29" s="27" t="n">
        <f aca="false">H27-H14</f>
        <v>0</v>
      </c>
      <c r="I29" s="27" t="n">
        <f aca="false">I27-I14</f>
        <v>0</v>
      </c>
      <c r="J29" s="27" t="n">
        <f aca="false">J27-J14</f>
        <v>0</v>
      </c>
      <c r="K29" s="27" t="n">
        <f aca="false">K27-K14</f>
        <v>0</v>
      </c>
      <c r="L29" s="27" t="n">
        <f aca="false">L27-L14</f>
        <v>0</v>
      </c>
      <c r="M29" s="27" t="n">
        <f aca="false">M27-M14</f>
        <v>0</v>
      </c>
    </row>
    <row r="30" customFormat="false" ht="15.75" hidden="false" customHeight="true" outlineLevel="0" collapsed="false">
      <c r="B30" s="28"/>
      <c r="C30" s="29"/>
      <c r="D30" s="30"/>
      <c r="E30" s="30"/>
      <c r="F30" s="30"/>
      <c r="G30" s="30"/>
      <c r="H30" s="30"/>
      <c r="I30" s="30"/>
      <c r="J30" s="30"/>
      <c r="K30" s="30"/>
      <c r="L30" s="30"/>
      <c r="M30" s="29"/>
    </row>
    <row r="31" customFormat="false" ht="15.75" hidden="false" customHeight="true" outlineLevel="0" collapsed="false">
      <c r="B31" s="28"/>
      <c r="C31" s="29"/>
      <c r="D31" s="30"/>
      <c r="E31" s="30"/>
      <c r="F31" s="30"/>
      <c r="G31" s="30"/>
      <c r="H31" s="30"/>
      <c r="I31" s="30"/>
      <c r="J31" s="30"/>
      <c r="K31" s="30"/>
      <c r="L31" s="30"/>
      <c r="M31" s="29"/>
    </row>
    <row r="32" customFormat="false" ht="15.75" hidden="false" customHeight="true" outlineLevel="0" collapsed="false">
      <c r="B32" s="5" t="s">
        <v>24</v>
      </c>
      <c r="C32" s="31"/>
      <c r="D32" s="32" t="n">
        <v>1</v>
      </c>
      <c r="E32" s="33" t="n">
        <v>2</v>
      </c>
      <c r="F32" s="33" t="n">
        <v>3</v>
      </c>
      <c r="G32" s="33" t="n">
        <v>4</v>
      </c>
      <c r="H32" s="33" t="n">
        <v>5</v>
      </c>
      <c r="I32" s="33" t="n">
        <v>6</v>
      </c>
      <c r="J32" s="33" t="n">
        <v>7</v>
      </c>
      <c r="K32" s="33" t="n">
        <v>8</v>
      </c>
      <c r="L32" s="34" t="n">
        <v>9</v>
      </c>
      <c r="M32" s="31" t="s">
        <v>25</v>
      </c>
    </row>
    <row r="33" customFormat="false" ht="15" hidden="false" customHeight="false" outlineLevel="0" collapsed="false">
      <c r="B33" s="24" t="s">
        <v>26</v>
      </c>
      <c r="C33" s="16"/>
      <c r="D33" s="17"/>
      <c r="E33" s="18"/>
      <c r="F33" s="18"/>
      <c r="G33" s="35" t="n">
        <v>98000</v>
      </c>
      <c r="H33" s="18"/>
      <c r="I33" s="18"/>
      <c r="J33" s="18"/>
      <c r="K33" s="18"/>
      <c r="L33" s="20"/>
      <c r="M33" s="16" t="n">
        <f aca="false">SUM(C33:L33)</f>
        <v>98000</v>
      </c>
    </row>
    <row r="34" customFormat="false" ht="15" hidden="false" customHeight="false" outlineLevel="0" collapsed="false">
      <c r="B34" s="24" t="s">
        <v>27</v>
      </c>
      <c r="C34" s="16"/>
      <c r="D34" s="17"/>
      <c r="E34" s="18"/>
      <c r="F34" s="18"/>
      <c r="G34" s="35" t="n">
        <f aca="false">G6</f>
        <v>-56000</v>
      </c>
      <c r="H34" s="18"/>
      <c r="I34" s="18"/>
      <c r="J34" s="18"/>
      <c r="K34" s="18"/>
      <c r="L34" s="20"/>
      <c r="M34" s="16" t="n">
        <f aca="false">SUM(C34:L34)</f>
        <v>-56000</v>
      </c>
    </row>
    <row r="35" customFormat="false" ht="15" hidden="false" customHeight="false" outlineLevel="0" collapsed="false">
      <c r="B35" s="21" t="s">
        <v>28</v>
      </c>
      <c r="C35" s="22"/>
      <c r="D35" s="36"/>
      <c r="E35" s="37"/>
      <c r="F35" s="37"/>
      <c r="G35" s="37"/>
      <c r="H35" s="37"/>
      <c r="I35" s="37"/>
      <c r="J35" s="37"/>
      <c r="K35" s="37"/>
      <c r="L35" s="38"/>
      <c r="M35" s="22" t="n">
        <f aca="false">SUM(M33:M34)</f>
        <v>42000</v>
      </c>
    </row>
    <row r="36" customFormat="false" ht="15" hidden="false" customHeight="false" outlineLevel="0" collapsed="false">
      <c r="B36" s="24" t="s">
        <v>29</v>
      </c>
      <c r="C36" s="16"/>
      <c r="D36" s="17"/>
      <c r="E36" s="18"/>
      <c r="F36" s="18"/>
      <c r="G36" s="18"/>
      <c r="H36" s="35" t="n">
        <v>-14000</v>
      </c>
      <c r="I36" s="35" t="n">
        <v>-8000</v>
      </c>
      <c r="J36" s="18"/>
      <c r="K36" s="18"/>
      <c r="L36" s="20"/>
      <c r="M36" s="16" t="n">
        <f aca="false">SUM(C36:L36)</f>
        <v>-22000</v>
      </c>
    </row>
    <row r="37" customFormat="false" ht="15" hidden="false" customHeight="false" outlineLevel="0" collapsed="false">
      <c r="B37" s="24"/>
      <c r="C37" s="16"/>
      <c r="D37" s="17"/>
      <c r="E37" s="18"/>
      <c r="F37" s="18"/>
      <c r="G37" s="18"/>
      <c r="H37" s="18"/>
      <c r="I37" s="18"/>
      <c r="J37" s="18"/>
      <c r="K37" s="18"/>
      <c r="L37" s="20"/>
      <c r="M37" s="16" t="n">
        <f aca="false">SUM(C37:L37)</f>
        <v>0</v>
      </c>
    </row>
    <row r="38" customFormat="false" ht="15.75" hidden="false" customHeight="true" outlineLevel="0" collapsed="false">
      <c r="B38" s="39" t="s">
        <v>30</v>
      </c>
      <c r="C38" s="40"/>
      <c r="D38" s="41"/>
      <c r="E38" s="42"/>
      <c r="F38" s="42"/>
      <c r="G38" s="42"/>
      <c r="H38" s="42"/>
      <c r="I38" s="42"/>
      <c r="J38" s="42"/>
      <c r="K38" s="42"/>
      <c r="L38" s="43"/>
      <c r="M38" s="40" t="n">
        <f aca="false">SUM(M35:M37)</f>
        <v>20000</v>
      </c>
    </row>
    <row r="39" customFormat="false" ht="15.75" hidden="false" customHeight="true" outlineLevel="0" collapsed="false">
      <c r="B39" s="28"/>
      <c r="C39" s="29"/>
      <c r="D39" s="30"/>
      <c r="E39" s="30"/>
      <c r="F39" s="30"/>
      <c r="G39" s="30"/>
      <c r="H39" s="30"/>
      <c r="I39" s="30"/>
      <c r="J39" s="30"/>
      <c r="K39" s="30"/>
      <c r="L39" s="30"/>
      <c r="M39" s="29"/>
    </row>
    <row r="40" customFormat="false" ht="15.75" hidden="false" customHeight="true" outlineLevel="0" collapsed="false">
      <c r="B40" s="28"/>
      <c r="C40" s="29"/>
      <c r="D40" s="30"/>
      <c r="E40" s="30"/>
      <c r="F40" s="30"/>
      <c r="G40" s="30"/>
      <c r="H40" s="30"/>
      <c r="I40" s="30"/>
      <c r="J40" s="30"/>
      <c r="K40" s="30"/>
      <c r="L40" s="30"/>
      <c r="M40" s="29"/>
    </row>
    <row r="41" customFormat="false" ht="15.75" hidden="false" customHeight="true" outlineLevel="0" collapsed="false">
      <c r="B41" s="5" t="s">
        <v>31</v>
      </c>
      <c r="C41" s="31"/>
      <c r="D41" s="32" t="n">
        <v>1</v>
      </c>
      <c r="E41" s="33" t="n">
        <v>2</v>
      </c>
      <c r="F41" s="33" t="n">
        <v>3</v>
      </c>
      <c r="G41" s="33" t="n">
        <v>4</v>
      </c>
      <c r="H41" s="33" t="n">
        <v>5</v>
      </c>
      <c r="I41" s="33" t="n">
        <v>6</v>
      </c>
      <c r="J41" s="33" t="n">
        <v>7</v>
      </c>
      <c r="K41" s="33" t="n">
        <v>8</v>
      </c>
      <c r="L41" s="34" t="n">
        <v>9</v>
      </c>
      <c r="M41" s="31" t="s">
        <v>25</v>
      </c>
    </row>
    <row r="42" customFormat="false" ht="15" hidden="false" customHeight="false" outlineLevel="0" collapsed="false">
      <c r="B42" s="10" t="s">
        <v>32</v>
      </c>
      <c r="C42" s="11"/>
      <c r="D42" s="12" t="n">
        <f aca="false">SUM(D43:D45)</f>
        <v>0</v>
      </c>
      <c r="E42" s="12" t="n">
        <f aca="false">SUM(E43:E45)</f>
        <v>0</v>
      </c>
      <c r="F42" s="12" t="n">
        <f aca="false">SUM(F43:F45)</f>
        <v>-32000</v>
      </c>
      <c r="G42" s="12" t="n">
        <f aca="false">SUM(G43:G45)</f>
        <v>60000</v>
      </c>
      <c r="H42" s="12" t="n">
        <f aca="false">SUM(H43:H45)</f>
        <v>-14000</v>
      </c>
      <c r="I42" s="12" t="n">
        <f aca="false">SUM(I43:I45)</f>
        <v>-8000</v>
      </c>
      <c r="J42" s="12" t="n">
        <f aca="false">SUM(J43:J45)</f>
        <v>-12000</v>
      </c>
      <c r="K42" s="12" t="n">
        <f aca="false">SUM(K43:K45)</f>
        <v>0</v>
      </c>
      <c r="L42" s="12" t="n">
        <f aca="false">SUM(L43:L45)</f>
        <v>0</v>
      </c>
      <c r="M42" s="12" t="n">
        <f aca="false">SUM(D42:L42)</f>
        <v>-6000</v>
      </c>
    </row>
    <row r="43" customFormat="false" ht="15" hidden="false" customHeight="false" outlineLevel="0" collapsed="false">
      <c r="B43" s="15" t="s">
        <v>33</v>
      </c>
      <c r="C43" s="16"/>
      <c r="D43" s="17"/>
      <c r="E43" s="17"/>
      <c r="F43" s="17" t="n">
        <v>-32000</v>
      </c>
      <c r="G43" s="17"/>
      <c r="H43" s="17"/>
      <c r="I43" s="17"/>
      <c r="J43" s="17" t="n">
        <v>-12000</v>
      </c>
      <c r="K43" s="17"/>
      <c r="L43" s="17"/>
      <c r="M43" s="16" t="n">
        <f aca="false">SUM(D43:L43)</f>
        <v>-44000</v>
      </c>
    </row>
    <row r="44" customFormat="false" ht="15" hidden="false" customHeight="false" outlineLevel="0" collapsed="false">
      <c r="B44" s="15" t="s">
        <v>34</v>
      </c>
      <c r="C44" s="16"/>
      <c r="D44" s="17"/>
      <c r="E44" s="17"/>
      <c r="F44" s="17"/>
      <c r="G44" s="17" t="n">
        <v>60000</v>
      </c>
      <c r="H44" s="17"/>
      <c r="I44" s="17"/>
      <c r="J44" s="17"/>
      <c r="K44" s="17"/>
      <c r="L44" s="17"/>
      <c r="M44" s="16" t="n">
        <f aca="false">SUM(D44:L44)</f>
        <v>60000</v>
      </c>
    </row>
    <row r="45" customFormat="false" ht="15" hidden="false" customHeight="false" outlineLevel="0" collapsed="false">
      <c r="B45" s="15" t="s">
        <v>35</v>
      </c>
      <c r="C45" s="16"/>
      <c r="D45" s="17"/>
      <c r="E45" s="17"/>
      <c r="F45" s="17"/>
      <c r="G45" s="17"/>
      <c r="H45" s="17" t="n">
        <v>-14000</v>
      </c>
      <c r="I45" s="17" t="n">
        <v>-8000</v>
      </c>
      <c r="J45" s="17"/>
      <c r="K45" s="17"/>
      <c r="L45" s="17"/>
      <c r="M45" s="16" t="n">
        <f aca="false">SUM(D45:L45)</f>
        <v>-22000</v>
      </c>
    </row>
    <row r="46" customFormat="false" ht="15" hidden="false" customHeight="false" outlineLevel="0" collapsed="false">
      <c r="B46" s="10" t="s">
        <v>36</v>
      </c>
      <c r="C46" s="11"/>
      <c r="D46" s="12" t="n">
        <f aca="false">SUM(D47:D48)</f>
        <v>0</v>
      </c>
      <c r="E46" s="12" t="n">
        <f aca="false">SUM(E47:E48)</f>
        <v>-42000</v>
      </c>
      <c r="F46" s="12" t="n">
        <f aca="false">SUM(F47:F48)</f>
        <v>0</v>
      </c>
      <c r="G46" s="12" t="n">
        <f aca="false">SUM(G47:G48)</f>
        <v>0</v>
      </c>
      <c r="H46" s="12" t="n">
        <f aca="false">SUM(H47:H48)</f>
        <v>0</v>
      </c>
      <c r="I46" s="12" t="n">
        <f aca="false">SUM(I47:I48)</f>
        <v>0</v>
      </c>
      <c r="J46" s="12" t="n">
        <f aca="false">SUM(J47:J48)</f>
        <v>0</v>
      </c>
      <c r="K46" s="12" t="n">
        <f aca="false">SUM(K47:K48)</f>
        <v>0</v>
      </c>
      <c r="L46" s="12" t="n">
        <f aca="false">SUM(L47:L48)</f>
        <v>0</v>
      </c>
      <c r="M46" s="12" t="n">
        <f aca="false">SUM(D46:L46)</f>
        <v>-42000</v>
      </c>
    </row>
    <row r="47" customFormat="false" ht="15" hidden="false" customHeight="false" outlineLevel="0" collapsed="false">
      <c r="B47" s="15" t="s">
        <v>37</v>
      </c>
      <c r="C47" s="16"/>
      <c r="D47" s="17"/>
      <c r="E47" s="17" t="n">
        <v>-42000</v>
      </c>
      <c r="F47" s="17"/>
      <c r="G47" s="17"/>
      <c r="H47" s="17"/>
      <c r="I47" s="17"/>
      <c r="J47" s="17"/>
      <c r="K47" s="17"/>
      <c r="L47" s="17"/>
      <c r="M47" s="16" t="n">
        <f aca="false">SUM(D47:L47)</f>
        <v>-42000</v>
      </c>
    </row>
    <row r="48" customFormat="false" ht="15" hidden="false" customHeight="false" outlineLevel="0" collapsed="false">
      <c r="B48" s="15"/>
      <c r="C48" s="16"/>
      <c r="D48" s="17"/>
      <c r="E48" s="17"/>
      <c r="F48" s="17"/>
      <c r="G48" s="17"/>
      <c r="H48" s="17"/>
      <c r="I48" s="17"/>
      <c r="J48" s="17"/>
      <c r="K48" s="17"/>
      <c r="L48" s="44"/>
      <c r="M48" s="16" t="n">
        <f aca="false">SUM(D48:L48)</f>
        <v>0</v>
      </c>
    </row>
    <row r="49" customFormat="false" ht="15" hidden="false" customHeight="false" outlineLevel="0" collapsed="false">
      <c r="B49" s="10" t="s">
        <v>38</v>
      </c>
      <c r="C49" s="11"/>
      <c r="D49" s="12" t="n">
        <f aca="false">SUM(D50:D53)</f>
        <v>120000</v>
      </c>
      <c r="E49" s="12" t="n">
        <f aca="false">SUM(E50:E53)</f>
        <v>0</v>
      </c>
      <c r="F49" s="12" t="n">
        <f aca="false">SUM(F50:F53)</f>
        <v>0</v>
      </c>
      <c r="G49" s="12" t="n">
        <f aca="false">SUM(G50:G53)</f>
        <v>0</v>
      </c>
      <c r="H49" s="12" t="n">
        <f aca="false">SUM(H50:H53)</f>
        <v>0</v>
      </c>
      <c r="I49" s="12" t="n">
        <f aca="false">SUM(I50:I53)</f>
        <v>0</v>
      </c>
      <c r="J49" s="12" t="n">
        <f aca="false">SUM(J50:J53)</f>
        <v>0</v>
      </c>
      <c r="K49" s="12" t="n">
        <f aca="false">SUM(K50:K53)</f>
        <v>40000</v>
      </c>
      <c r="L49" s="45" t="n">
        <f aca="false">SUM(L50:L53)</f>
        <v>0</v>
      </c>
      <c r="M49" s="46" t="n">
        <f aca="false">SUM(D49:L49)</f>
        <v>160000</v>
      </c>
    </row>
    <row r="50" customFormat="false" ht="15" hidden="false" customHeight="false" outlineLevel="0" collapsed="false">
      <c r="B50" s="15" t="s">
        <v>39</v>
      </c>
      <c r="C50" s="16"/>
      <c r="D50" s="17" t="n">
        <v>120000</v>
      </c>
      <c r="E50" s="18"/>
      <c r="F50" s="18"/>
      <c r="G50" s="18"/>
      <c r="H50" s="18"/>
      <c r="I50" s="18"/>
      <c r="J50" s="18"/>
      <c r="K50" s="18"/>
      <c r="L50" s="20"/>
      <c r="M50" s="16" t="n">
        <f aca="false">SUM(D50:L50)</f>
        <v>120000</v>
      </c>
    </row>
    <row r="51" customFormat="false" ht="15" hidden="false" customHeight="false" outlineLevel="0" collapsed="false">
      <c r="B51" s="15" t="s">
        <v>40</v>
      </c>
      <c r="C51" s="16"/>
      <c r="D51" s="17"/>
      <c r="E51" s="18"/>
      <c r="F51" s="18"/>
      <c r="G51" s="18"/>
      <c r="H51" s="18"/>
      <c r="I51" s="18"/>
      <c r="J51" s="18"/>
      <c r="K51" s="35" t="n">
        <v>40000</v>
      </c>
      <c r="L51" s="20"/>
      <c r="M51" s="16" t="n">
        <f aca="false">SUM(D51:L51)</f>
        <v>40000</v>
      </c>
    </row>
    <row r="52" customFormat="false" ht="15" hidden="false" customHeight="false" outlineLevel="0" collapsed="false">
      <c r="B52" s="15"/>
      <c r="C52" s="16"/>
      <c r="D52" s="17"/>
      <c r="E52" s="18"/>
      <c r="F52" s="18"/>
      <c r="G52" s="18"/>
      <c r="H52" s="18"/>
      <c r="I52" s="18"/>
      <c r="J52" s="18"/>
      <c r="K52" s="18"/>
      <c r="L52" s="20"/>
      <c r="M52" s="16" t="n">
        <f aca="false">SUM(D52:L52)</f>
        <v>0</v>
      </c>
    </row>
    <row r="53" customFormat="false" ht="15" hidden="false" customHeight="false" outlineLevel="0" collapsed="false">
      <c r="B53" s="15"/>
      <c r="C53" s="16"/>
      <c r="D53" s="17"/>
      <c r="E53" s="18"/>
      <c r="F53" s="18"/>
      <c r="G53" s="18"/>
      <c r="H53" s="18"/>
      <c r="I53" s="18"/>
      <c r="J53" s="18"/>
      <c r="K53" s="18"/>
      <c r="L53" s="20"/>
      <c r="M53" s="16" t="n">
        <f aca="false">SUM(D53:L53)</f>
        <v>0</v>
      </c>
    </row>
    <row r="54" customFormat="false" ht="15" hidden="false" customHeight="false" outlineLevel="0" collapsed="false">
      <c r="B54" s="21" t="s">
        <v>41</v>
      </c>
      <c r="C54" s="22"/>
      <c r="D54" s="36" t="n">
        <f aca="false">D42+D46+D49</f>
        <v>120000</v>
      </c>
      <c r="E54" s="37" t="n">
        <f aca="false">E42+E46+E49</f>
        <v>-42000</v>
      </c>
      <c r="F54" s="37" t="n">
        <f aca="false">F42+F46+F49</f>
        <v>-32000</v>
      </c>
      <c r="G54" s="37" t="n">
        <f aca="false">G42+G46+G49</f>
        <v>60000</v>
      </c>
      <c r="H54" s="37" t="n">
        <f aca="false">H42+H46+H49</f>
        <v>-14000</v>
      </c>
      <c r="I54" s="37" t="n">
        <f aca="false">I42+I46+I49</f>
        <v>-8000</v>
      </c>
      <c r="J54" s="37" t="n">
        <f aca="false">J42+J46+J49</f>
        <v>-12000</v>
      </c>
      <c r="K54" s="37" t="n">
        <f aca="false">K42+K46+K49</f>
        <v>40000</v>
      </c>
      <c r="L54" s="38" t="n">
        <f aca="false">L42+L46+L49</f>
        <v>0</v>
      </c>
      <c r="M54" s="22" t="n">
        <f aca="false">SUM(M50:M53,M47:M48,M43:M45)</f>
        <v>112000</v>
      </c>
    </row>
    <row r="55" customFormat="false" ht="15" hidden="false" customHeight="false" outlineLevel="0" collapsed="false">
      <c r="B55" s="47" t="s">
        <v>42</v>
      </c>
      <c r="C55" s="16"/>
      <c r="D55" s="17" t="n">
        <f aca="false">C5</f>
        <v>0</v>
      </c>
      <c r="E55" s="18" t="n">
        <f aca="false">D56</f>
        <v>120000</v>
      </c>
      <c r="F55" s="18" t="n">
        <f aca="false">E56</f>
        <v>78000</v>
      </c>
      <c r="G55" s="18" t="n">
        <f aca="false">F56</f>
        <v>46000</v>
      </c>
      <c r="H55" s="18" t="n">
        <f aca="false">G56</f>
        <v>106000</v>
      </c>
      <c r="I55" s="18" t="n">
        <f aca="false">H56</f>
        <v>92000</v>
      </c>
      <c r="J55" s="18" t="n">
        <f aca="false">I56</f>
        <v>84000</v>
      </c>
      <c r="K55" s="18" t="n">
        <f aca="false">J56</f>
        <v>72000</v>
      </c>
      <c r="L55" s="20" t="n">
        <f aca="false">K56</f>
        <v>112000</v>
      </c>
      <c r="M55" s="16" t="n">
        <f aca="false">C5</f>
        <v>0</v>
      </c>
    </row>
    <row r="56" customFormat="false" ht="15.75" hidden="false" customHeight="true" outlineLevel="0" collapsed="false">
      <c r="B56" s="39" t="s">
        <v>43</v>
      </c>
      <c r="C56" s="40"/>
      <c r="D56" s="41" t="n">
        <f aca="false">D55+D54</f>
        <v>120000</v>
      </c>
      <c r="E56" s="42" t="n">
        <f aca="false">E55+E54</f>
        <v>78000</v>
      </c>
      <c r="F56" s="42" t="n">
        <f aca="false">F55+F54</f>
        <v>46000</v>
      </c>
      <c r="G56" s="42" t="n">
        <f aca="false">G55+G54</f>
        <v>106000</v>
      </c>
      <c r="H56" s="42" t="n">
        <f aca="false">H55+H54</f>
        <v>92000</v>
      </c>
      <c r="I56" s="42" t="n">
        <f aca="false">I55+I54</f>
        <v>84000</v>
      </c>
      <c r="J56" s="42" t="n">
        <f aca="false">J55+J54</f>
        <v>72000</v>
      </c>
      <c r="K56" s="42" t="n">
        <f aca="false">K55+K54</f>
        <v>112000</v>
      </c>
      <c r="L56" s="43" t="n">
        <f aca="false">L55+L54</f>
        <v>112000</v>
      </c>
      <c r="M56" s="40" t="n">
        <f aca="false">M55+M54</f>
        <v>112000</v>
      </c>
    </row>
    <row r="57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2026-08-27T18:14:06Z</dcterms:created>
  <dc:creator>openpyxl</dc:creator>
  <dc:description/>
  <dc:language>pt-BR</dc:language>
  <cp:lastModifiedBy>Arthur Malucelli</cp:lastModifiedBy>
  <dcterms:modified xsi:type="dcterms:W3CDTF">2026-08-27T20:25:04Z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