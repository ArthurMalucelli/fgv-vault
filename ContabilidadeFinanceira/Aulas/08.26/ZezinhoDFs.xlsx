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DRE" sheetId="2" state="visible" r:id="rId4"/>
    <sheet name="DFC" sheetId="3" state="visible" r:id="rId5"/>
    <sheet name="B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8" authorId="0">
      <text>
        <r>
          <rPr>
            <sz val="10"/>
            <rFont val="Arial"/>
            <family val="2"/>
          </rPr>
          <t xml:space="preserve">Nao havia funcionario na fase diaria.</t>
        </r>
      </text>
    </comment>
    <comment ref="C13" authorId="0">
      <text>
        <r>
          <rPr>
            <sz val="10"/>
            <rFont val="Arial"/>
            <family val="2"/>
          </rPr>
          <t xml:space="preserve">450 no inicio + 250 no fim do mes.</t>
        </r>
      </text>
    </comment>
    <comment ref="D12" authorId="0">
      <text>
        <r>
          <rPr>
            <sz val="10"/>
            <rFont val="Arial"/>
            <family val="2"/>
          </rPr>
          <t xml:space="preserve">Metade a vista, metade no cartao de credito recebido em M3.</t>
        </r>
      </text>
    </comment>
    <comment ref="E11" authorId="0">
      <text>
        <r>
          <rPr>
            <sz val="10"/>
            <rFont val="Arial"/>
            <family val="2"/>
          </rPr>
          <t xml:space="preserve">Todo o estoque remanescente vendido a vista.</t>
        </r>
      </text>
    </comment>
    <comment ref="E13" authorId="0">
      <text>
        <r>
          <rPr>
            <sz val="10"/>
            <rFont val="Arial"/>
            <family val="2"/>
          </rPr>
          <t xml:space="preserve">Nenhuma compra em M3.</t>
        </r>
      </text>
    </comment>
    <comment ref="E14" authorId="0">
      <text>
        <r>
          <rPr>
            <sz val="10"/>
            <rFont val="Arial"/>
            <family val="2"/>
          </rPr>
          <t xml:space="preserve">Consome todo o estoque remanescente (660).</t>
        </r>
      </text>
    </comment>
    <comment ref="E17" authorId="0">
      <text>
        <r>
          <rPr>
            <sz val="10"/>
            <rFont val="Arial"/>
            <family val="2"/>
          </rPr>
          <t xml:space="preserve">M3: no fim do mes a empresa quitou salario e aluguel de M3 para nao deixar divida para M4.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Fase diaria nao deixou recebiveis.</t>
        </r>
      </text>
    </comment>
    <comment ref="B5" authorId="0">
      <text>
        <r>
          <rPr>
            <sz val="10"/>
            <rFont val="Arial"/>
            <family val="2"/>
          </rPr>
          <t xml:space="preserve">Na virada para a fase mensal nao havia contas pendentes.</t>
        </r>
      </text>
    </comment>
    <comment ref="B13" authorId="0">
      <text>
        <r>
          <rPr>
            <sz val="10"/>
            <rFont val="Arial"/>
            <family val="2"/>
          </rPr>
          <t xml:space="preserve">Fase mensal abre com caixa zero (Zezinho nao investiu nada).</t>
        </r>
      </text>
    </comment>
    <comment ref="B20" authorId="0">
      <text>
        <r>
          <rPr>
            <sz val="10"/>
            <rFont val="Arial"/>
            <family val="2"/>
          </rPr>
          <t xml:space="preserve">Com o balanco zerado no fim de M3, lucro = FCO = dividendos.</t>
        </r>
      </text>
    </comment>
    <comment ref="D8" authorId="0">
      <text>
        <r>
          <rPr>
            <sz val="10"/>
            <rFont val="Arial"/>
            <family val="2"/>
          </rPr>
          <t xml:space="preserve">M3: 750 + 600 quitados no fim do mes.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16" authorId="0">
      <text>
        <r>
          <rPr>
            <sz val="10"/>
            <rFont val="Arial"/>
            <family val="2"/>
          </rPr>
          <t xml:space="preserve">Zezinho nao investiu dinheiro no negocio.</t>
        </r>
      </text>
    </comment>
    <comment ref="B17" authorId="0">
      <text>
        <r>
          <rPr>
            <sz val="10"/>
            <rFont val="Arial"/>
            <family val="2"/>
          </rPr>
          <t xml:space="preserve">Lucro do mes menos dividendo distribuido (100%).</t>
        </r>
      </text>
    </comment>
    <comment ref="C6" authorId="0">
      <text>
        <r>
          <rPr>
            <sz val="10"/>
            <rFont val="Arial"/>
            <family val="2"/>
          </rPr>
          <t xml:space="preserve">Estoque anterior + compras - consumo.</t>
        </r>
      </text>
    </comment>
  </commentList>
</comments>
</file>

<file path=xl/sharedStrings.xml><?xml version="1.0" encoding="utf-8"?>
<sst xmlns="http://schemas.openxmlformats.org/spreadsheetml/2006/main" count="85" uniqueCount="78">
  <si>
    <t xml:space="preserve">CASO PIPOCA DO ZEZINHO (A e B): demonstracoes financeiras</t>
  </si>
  <si>
    <t xml:space="preserve">Valores em $. Legenda:</t>
  </si>
  <si>
    <t xml:space="preserve">azul = input do caso</t>
  </si>
  <si>
    <t xml:space="preserve">preto = formula</t>
  </si>
  <si>
    <t xml:space="preserve">verde = link entre abas</t>
  </si>
  <si>
    <t xml:space="preserve">Dia 1 (fase aposentado)</t>
  </si>
  <si>
    <t xml:space="preserve">Vendas do dia</t>
  </si>
  <si>
    <t xml:space="preserve">Ingredientes consumidos</t>
  </si>
  <si>
    <t xml:space="preserve">Aluguel do carrinho (diario)</t>
  </si>
  <si>
    <t xml:space="preserve">Salario</t>
  </si>
  <si>
    <t xml:space="preserve">Meses (fase com funcionario)</t>
  </si>
  <si>
    <t xml:space="preserve">M1</t>
  </si>
  <si>
    <t xml:space="preserve">M2</t>
  </si>
  <si>
    <t xml:space="preserve">M3</t>
  </si>
  <si>
    <t xml:space="preserve">Vendas do mes</t>
  </si>
  <si>
    <t xml:space="preserve">% recebido a vista</t>
  </si>
  <si>
    <t xml:space="preserve">Compras de ingredientes</t>
  </si>
  <si>
    <t xml:space="preserve">Ingredientes consumidos (CMV)</t>
  </si>
  <si>
    <t xml:space="preserve">Salario do mes</t>
  </si>
  <si>
    <t xml:space="preserve">Aluguel do mes</t>
  </si>
  <si>
    <t xml:space="preserve">Salario+aluguel do mes pagos dentro do proprio mes? (1=sim)</t>
  </si>
  <si>
    <t xml:space="preserve">Prazos de pagamento e recebimento</t>
  </si>
  <si>
    <t xml:space="preserve">Salario: pago dia 05 do mes seguinte (M3: pago no proprio mes)</t>
  </si>
  <si>
    <t xml:space="preserve">Supermercado: pago dia 15 do mes seguinte</t>
  </si>
  <si>
    <t xml:space="preserve">Aluguel: pago dia 01 do mes seguinte (M3: pago no proprio mes)</t>
  </si>
  <si>
    <t xml:space="preserve">Cartao de credito: recebido no mes seguinte</t>
  </si>
  <si>
    <t xml:space="preserve">Dividendos: 100% do lucro, pagos dentro do proprio mes</t>
  </si>
  <si>
    <t xml:space="preserve">Gabarito do quiz (Tema 4)</t>
  </si>
  <si>
    <t xml:space="preserve">Lucro (quiz)</t>
  </si>
  <si>
    <t xml:space="preserve">Caixa das operacoes (quiz)</t>
  </si>
  <si>
    <t xml:space="preserve">DRE (regime de competencia)</t>
  </si>
  <si>
    <t xml:space="preserve">Dia 1</t>
  </si>
  <si>
    <t xml:space="preserve">Trimestre</t>
  </si>
  <si>
    <t xml:space="preserve">Receita de vendas</t>
  </si>
  <si>
    <t xml:space="preserve">(-) CMV (ingredientes consumidos)</t>
  </si>
  <si>
    <t xml:space="preserve">Lucro bruto</t>
  </si>
  <si>
    <t xml:space="preserve">(-) Salario</t>
  </si>
  <si>
    <t xml:space="preserve">(-) Aluguel</t>
  </si>
  <si>
    <t xml:space="preserve">Lucro liquido</t>
  </si>
  <si>
    <t xml:space="preserve">Lucro pelo quiz</t>
  </si>
  <si>
    <t xml:space="preserve">Check (calculado - quiz)</t>
  </si>
  <si>
    <t xml:space="preserve">DFC (metodo direto)</t>
  </si>
  <si>
    <t xml:space="preserve">Recebimento de vendas a vista do mes</t>
  </si>
  <si>
    <t xml:space="preserve">Recebimento do cartao do mes anterior</t>
  </si>
  <si>
    <t xml:space="preserve">(-) Fornecedor do mes anterior</t>
  </si>
  <si>
    <t xml:space="preserve">(-) Salario do mes anterior</t>
  </si>
  <si>
    <t xml:space="preserve">(-) Aluguel do mes anterior</t>
  </si>
  <si>
    <t xml:space="preserve">(-) Salario e aluguel do proprio mes (se pagos no mes)</t>
  </si>
  <si>
    <t xml:space="preserve">Caixa das operacoes (FCO)</t>
  </si>
  <si>
    <t xml:space="preserve">(-) Dividendos pagos (FCF)</t>
  </si>
  <si>
    <t xml:space="preserve">Variacao de caixa</t>
  </si>
  <si>
    <t xml:space="preserve">Caixa inicial</t>
  </si>
  <si>
    <t xml:space="preserve">Caixa final</t>
  </si>
  <si>
    <t xml:space="preserve">Check FCO (calculado - quiz)</t>
  </si>
  <si>
    <t xml:space="preserve">Q6: total de dividendos nos 3 meses</t>
  </si>
  <si>
    <t xml:space="preserve">Lucro acumulado do trimestre (DRE)</t>
  </si>
  <si>
    <t xml:space="preserve">FCO acumulado do trimestre</t>
  </si>
  <si>
    <t xml:space="preserve">Balanco Patrimonial (fim do mes, apos dividendo)</t>
  </si>
  <si>
    <t xml:space="preserve">Fim M1</t>
  </si>
  <si>
    <t xml:space="preserve">Fim M2</t>
  </si>
  <si>
    <t xml:space="preserve">Fim M3</t>
  </si>
  <si>
    <t xml:space="preserve">ATIVO</t>
  </si>
  <si>
    <t xml:space="preserve">Caixa</t>
  </si>
  <si>
    <t xml:space="preserve">Contas a receber (cartao)</t>
  </si>
  <si>
    <t xml:space="preserve">Estoque</t>
  </si>
  <si>
    <t xml:space="preserve">Total do ativo</t>
  </si>
  <si>
    <t xml:space="preserve">PASSIVO</t>
  </si>
  <si>
    <t xml:space="preserve">Fornecedores</t>
  </si>
  <si>
    <t xml:space="preserve">Salarios a pagar</t>
  </si>
  <si>
    <t xml:space="preserve">Alugueis a pagar</t>
  </si>
  <si>
    <t xml:space="preserve">Total do passivo</t>
  </si>
  <si>
    <t xml:space="preserve">PATRIMONIO LIQUIDO</t>
  </si>
  <si>
    <t xml:space="preserve">Capital social</t>
  </si>
  <si>
    <t xml:space="preserve">Lucros acumulados</t>
  </si>
  <si>
    <t xml:space="preserve">Total do PL</t>
  </si>
  <si>
    <t xml:space="preserve">Passivo + PL</t>
  </si>
  <si>
    <t xml:space="preserve">Check (Ativo - Passivo - PL)</t>
  </si>
  <si>
    <t xml:space="preserve">Fim de M3: balanco zerado. Sem caixa, sem recebiveis, sem estoque, sem dividas, PL zero.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</si>
</sst>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  <c r="D2" s="5" t="s">
        <v>4</v>
      </c>
    </row>
    <row r="4" customFormat="false" ht="15" hidden="false" customHeight="false" outlineLevel="0" collapsed="false">
      <c r="A4" s="2" t="s">
        <v>5</v>
      </c>
    </row>
    <row r="5" customFormat="false" ht="15" hidden="false" customHeight="false" outlineLevel="0" collapsed="false">
      <c r="A5" s="4" t="s">
        <v>6</v>
      </c>
      <c r="B5" s="6" t="n">
        <v>125</v>
      </c>
    </row>
    <row r="6" customFormat="false" ht="15" hidden="false" customHeight="false" outlineLevel="0" collapsed="false">
      <c r="A6" s="4" t="s">
        <v>7</v>
      </c>
      <c r="B6" s="6" t="n">
        <v>25</v>
      </c>
    </row>
    <row r="7" customFormat="false" ht="15" hidden="false" customHeight="false" outlineLevel="0" collapsed="false">
      <c r="A7" s="4" t="s">
        <v>8</v>
      </c>
      <c r="B7" s="6" t="n">
        <v>20</v>
      </c>
    </row>
    <row r="8" customFormat="false" ht="15" hidden="false" customHeight="false" outlineLevel="0" collapsed="false">
      <c r="A8" s="4" t="s">
        <v>9</v>
      </c>
      <c r="B8" s="6" t="n">
        <v>0</v>
      </c>
    </row>
    <row r="10" customFormat="false" ht="15" hidden="false" customHeight="false" outlineLevel="0" collapsed="false">
      <c r="A10" s="2" t="s">
        <v>10</v>
      </c>
      <c r="C10" s="2" t="s">
        <v>11</v>
      </c>
      <c r="D10" s="2" t="s">
        <v>12</v>
      </c>
      <c r="E10" s="2" t="s">
        <v>13</v>
      </c>
    </row>
    <row r="11" customFormat="false" ht="15" hidden="false" customHeight="false" outlineLevel="0" collapsed="false">
      <c r="A11" s="4" t="s">
        <v>14</v>
      </c>
      <c r="C11" s="6" t="n">
        <v>3200</v>
      </c>
      <c r="D11" s="6" t="n">
        <v>3400</v>
      </c>
      <c r="E11" s="6" t="n">
        <v>3600</v>
      </c>
    </row>
    <row r="12" customFormat="false" ht="15" hidden="false" customHeight="false" outlineLevel="0" collapsed="false">
      <c r="A12" s="4" t="s">
        <v>15</v>
      </c>
      <c r="C12" s="7" t="n">
        <v>1</v>
      </c>
      <c r="D12" s="7" t="n">
        <v>0.5</v>
      </c>
      <c r="E12" s="7" t="n">
        <v>1</v>
      </c>
    </row>
    <row r="13" customFormat="false" ht="15" hidden="false" customHeight="false" outlineLevel="0" collapsed="false">
      <c r="A13" s="4" t="s">
        <v>16</v>
      </c>
      <c r="C13" s="6" t="n">
        <v>700</v>
      </c>
      <c r="D13" s="6" t="n">
        <v>1340</v>
      </c>
      <c r="E13" s="6" t="n">
        <v>0</v>
      </c>
    </row>
    <row r="14" customFormat="false" ht="15" hidden="false" customHeight="false" outlineLevel="0" collapsed="false">
      <c r="A14" s="4" t="s">
        <v>17</v>
      </c>
      <c r="C14" s="6" t="n">
        <v>700</v>
      </c>
      <c r="D14" s="6" t="n">
        <v>680</v>
      </c>
      <c r="E14" s="8" t="n">
        <f aca="false">C13-C14+D13-D14+E13</f>
        <v>660</v>
      </c>
    </row>
    <row r="15" customFormat="false" ht="15" hidden="false" customHeight="false" outlineLevel="0" collapsed="false">
      <c r="A15" s="4" t="s">
        <v>18</v>
      </c>
      <c r="C15" s="6" t="n">
        <v>750</v>
      </c>
      <c r="D15" s="6" t="n">
        <v>750</v>
      </c>
      <c r="E15" s="6" t="n">
        <v>750</v>
      </c>
    </row>
    <row r="16" customFormat="false" ht="15" hidden="false" customHeight="false" outlineLevel="0" collapsed="false">
      <c r="A16" s="4" t="s">
        <v>19</v>
      </c>
      <c r="C16" s="6" t="n">
        <v>600</v>
      </c>
      <c r="D16" s="6" t="n">
        <v>600</v>
      </c>
      <c r="E16" s="6" t="n">
        <v>600</v>
      </c>
    </row>
    <row r="17" customFormat="false" ht="15" hidden="false" customHeight="false" outlineLevel="0" collapsed="false">
      <c r="A17" s="4" t="s">
        <v>20</v>
      </c>
      <c r="C17" s="6" t="n">
        <v>0</v>
      </c>
      <c r="D17" s="6" t="n">
        <v>0</v>
      </c>
      <c r="E17" s="6" t="n">
        <v>1</v>
      </c>
    </row>
    <row r="19" customFormat="false" ht="15" hidden="false" customHeight="false" outlineLevel="0" collapsed="false">
      <c r="A19" s="2" t="s">
        <v>21</v>
      </c>
    </row>
    <row r="20" customFormat="false" ht="15" hidden="false" customHeight="false" outlineLevel="0" collapsed="false">
      <c r="A20" s="4" t="s">
        <v>22</v>
      </c>
    </row>
    <row r="21" customFormat="false" ht="15" hidden="false" customHeight="false" outlineLevel="0" collapsed="false">
      <c r="A21" s="4" t="s">
        <v>23</v>
      </c>
    </row>
    <row r="22" customFormat="false" ht="15" hidden="false" customHeight="false" outlineLevel="0" collapsed="false">
      <c r="A22" s="4" t="s">
        <v>24</v>
      </c>
    </row>
    <row r="23" customFormat="false" ht="15" hidden="false" customHeight="false" outlineLevel="0" collapsed="false">
      <c r="A23" s="4" t="s">
        <v>25</v>
      </c>
    </row>
    <row r="24" customFormat="false" ht="15" hidden="false" customHeight="false" outlineLevel="0" collapsed="false">
      <c r="A24" s="4" t="s">
        <v>26</v>
      </c>
    </row>
    <row r="26" customFormat="false" ht="15" hidden="false" customHeight="false" outlineLevel="0" collapsed="false">
      <c r="A26" s="2" t="s">
        <v>27</v>
      </c>
    </row>
    <row r="27" customFormat="false" ht="15" hidden="false" customHeight="false" outlineLevel="0" collapsed="false">
      <c r="A27" s="4" t="s">
        <v>28</v>
      </c>
      <c r="C27" s="6" t="n">
        <v>1150</v>
      </c>
      <c r="D27" s="6" t="n">
        <v>1370</v>
      </c>
      <c r="E27" s="6" t="n">
        <v>1590</v>
      </c>
    </row>
    <row r="28" customFormat="false" ht="15" hidden="false" customHeight="false" outlineLevel="0" collapsed="false">
      <c r="A28" s="4" t="s">
        <v>29</v>
      </c>
      <c r="C28" s="6" t="n">
        <v>3200</v>
      </c>
      <c r="D28" s="6" t="n">
        <v>-350</v>
      </c>
      <c r="E28" s="6" t="n">
        <v>1260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B2" s="2" t="s">
        <v>31</v>
      </c>
      <c r="C2" s="2" t="s">
        <v>11</v>
      </c>
      <c r="D2" s="2" t="s">
        <v>12</v>
      </c>
      <c r="E2" s="2" t="s">
        <v>13</v>
      </c>
      <c r="F2" s="2" t="s">
        <v>32</v>
      </c>
    </row>
    <row r="3" customFormat="false" ht="15" hidden="false" customHeight="false" outlineLevel="0" collapsed="false">
      <c r="A3" s="4" t="s">
        <v>33</v>
      </c>
      <c r="B3" s="9" t="n">
        <f aca="false">Premissas!B5</f>
        <v>125</v>
      </c>
      <c r="C3" s="9" t="n">
        <f aca="false">Premissas!C11</f>
        <v>3200</v>
      </c>
      <c r="D3" s="9" t="n">
        <f aca="false">Premissas!D11</f>
        <v>3400</v>
      </c>
      <c r="E3" s="9" t="n">
        <f aca="false">Premissas!E11</f>
        <v>3600</v>
      </c>
      <c r="F3" s="8" t="n">
        <f aca="false">SUM(C3:E3)</f>
        <v>10200</v>
      </c>
    </row>
    <row r="4" customFormat="false" ht="15" hidden="false" customHeight="false" outlineLevel="0" collapsed="false">
      <c r="A4" s="4" t="s">
        <v>34</v>
      </c>
      <c r="B4" s="9" t="n">
        <f aca="false">-Premissas!B6</f>
        <v>-25</v>
      </c>
      <c r="C4" s="9" t="n">
        <f aca="false">-Premissas!C14</f>
        <v>-700</v>
      </c>
      <c r="D4" s="9" t="n">
        <f aca="false">-Premissas!D14</f>
        <v>-680</v>
      </c>
      <c r="E4" s="9" t="n">
        <f aca="false">-Premissas!E14</f>
        <v>-660</v>
      </c>
      <c r="F4" s="8" t="n">
        <f aca="false">SUM(C4:E4)</f>
        <v>-2040</v>
      </c>
    </row>
    <row r="5" customFormat="false" ht="15" hidden="false" customHeight="false" outlineLevel="0" collapsed="false">
      <c r="A5" s="2" t="s">
        <v>35</v>
      </c>
      <c r="B5" s="10" t="n">
        <f aca="false">SUM(B3:B4)</f>
        <v>100</v>
      </c>
      <c r="C5" s="10" t="n">
        <f aca="false">SUM(C3:C4)</f>
        <v>2500</v>
      </c>
      <c r="D5" s="10" t="n">
        <f aca="false">SUM(D3:D4)</f>
        <v>2720</v>
      </c>
      <c r="E5" s="10" t="n">
        <f aca="false">SUM(E3:E4)</f>
        <v>2940</v>
      </c>
      <c r="F5" s="10" t="n">
        <f aca="false">SUM(C5:E5)</f>
        <v>8160</v>
      </c>
    </row>
    <row r="6" customFormat="false" ht="15" hidden="false" customHeight="false" outlineLevel="0" collapsed="false">
      <c r="A6" s="4" t="s">
        <v>36</v>
      </c>
      <c r="B6" s="9" t="n">
        <f aca="false">-Premissas!B8</f>
        <v>-0</v>
      </c>
      <c r="C6" s="9" t="n">
        <f aca="false">-Premissas!C15</f>
        <v>-750</v>
      </c>
      <c r="D6" s="9" t="n">
        <f aca="false">-Premissas!D15</f>
        <v>-750</v>
      </c>
      <c r="E6" s="9" t="n">
        <f aca="false">-Premissas!E15</f>
        <v>-750</v>
      </c>
      <c r="F6" s="8" t="n">
        <f aca="false">SUM(C6:E6)</f>
        <v>-2250</v>
      </c>
    </row>
    <row r="7" customFormat="false" ht="15" hidden="false" customHeight="false" outlineLevel="0" collapsed="false">
      <c r="A7" s="4" t="s">
        <v>37</v>
      </c>
      <c r="B7" s="9" t="n">
        <f aca="false">-Premissas!B7</f>
        <v>-20</v>
      </c>
      <c r="C7" s="9" t="n">
        <f aca="false">-Premissas!C16</f>
        <v>-600</v>
      </c>
      <c r="D7" s="9" t="n">
        <f aca="false">-Premissas!D16</f>
        <v>-600</v>
      </c>
      <c r="E7" s="9" t="n">
        <f aca="false">-Premissas!E16</f>
        <v>-600</v>
      </c>
      <c r="F7" s="8" t="n">
        <f aca="false">SUM(C7:E7)</f>
        <v>-1800</v>
      </c>
    </row>
    <row r="8" customFormat="false" ht="15" hidden="false" customHeight="false" outlineLevel="0" collapsed="false">
      <c r="A8" s="2" t="s">
        <v>38</v>
      </c>
      <c r="B8" s="10" t="n">
        <f aca="false">B5+B6+B7</f>
        <v>80</v>
      </c>
      <c r="C8" s="10" t="n">
        <f aca="false">C5+C6+C7</f>
        <v>1150</v>
      </c>
      <c r="D8" s="10" t="n">
        <f aca="false">D5+D6+D7</f>
        <v>1370</v>
      </c>
      <c r="E8" s="10" t="n">
        <f aca="false">E5+E6+E7</f>
        <v>1590</v>
      </c>
      <c r="F8" s="10" t="n">
        <f aca="false">SUM(C8:E8)</f>
        <v>4110</v>
      </c>
    </row>
    <row r="10" customFormat="false" ht="15" hidden="false" customHeight="false" outlineLevel="0" collapsed="false">
      <c r="A10" s="4" t="s">
        <v>39</v>
      </c>
      <c r="C10" s="9" t="n">
        <f aca="false">Premissas!C27</f>
        <v>1150</v>
      </c>
      <c r="D10" s="9" t="n">
        <f aca="false">Premissas!D27</f>
        <v>1370</v>
      </c>
      <c r="E10" s="9" t="n">
        <f aca="false">Premissas!E27</f>
        <v>1590</v>
      </c>
    </row>
    <row r="11" customFormat="false" ht="15" hidden="false" customHeight="false" outlineLevel="0" collapsed="false">
      <c r="A11" s="4" t="s">
        <v>40</v>
      </c>
      <c r="C11" s="8" t="n">
        <f aca="false">C8-C10</f>
        <v>0</v>
      </c>
      <c r="D11" s="8" t="n">
        <f aca="false">D8-D10</f>
        <v>0</v>
      </c>
      <c r="E11" s="8" t="n">
        <f aca="false">E8-E10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B2" s="2" t="s">
        <v>11</v>
      </c>
      <c r="C2" s="2" t="s">
        <v>12</v>
      </c>
      <c r="D2" s="2" t="s">
        <v>13</v>
      </c>
      <c r="E2" s="2" t="s">
        <v>32</v>
      </c>
    </row>
    <row r="3" customFormat="false" ht="15" hidden="false" customHeight="false" outlineLevel="0" collapsed="false">
      <c r="A3" s="4" t="s">
        <v>42</v>
      </c>
      <c r="B3" s="9" t="n">
        <f aca="false">Premissas!C11*Premissas!C12</f>
        <v>3200</v>
      </c>
      <c r="C3" s="9" t="n">
        <f aca="false">Premissas!D11*Premissas!D12</f>
        <v>1700</v>
      </c>
      <c r="D3" s="9" t="n">
        <f aca="false">Premissas!E11*Premissas!E12</f>
        <v>3600</v>
      </c>
      <c r="E3" s="8" t="n">
        <f aca="false">SUM(B3:D3)</f>
        <v>8500</v>
      </c>
    </row>
    <row r="4" customFormat="false" ht="15" hidden="false" customHeight="false" outlineLevel="0" collapsed="false">
      <c r="A4" s="4" t="s">
        <v>43</v>
      </c>
      <c r="B4" s="6" t="n">
        <v>0</v>
      </c>
      <c r="C4" s="9" t="n">
        <f aca="false">Premissas!C11*(1-Premissas!C12)</f>
        <v>0</v>
      </c>
      <c r="D4" s="9" t="n">
        <f aca="false">Premissas!D11*(1-Premissas!D12)</f>
        <v>1700</v>
      </c>
      <c r="E4" s="8" t="n">
        <f aca="false">SUM(B4:D4)</f>
        <v>1700</v>
      </c>
    </row>
    <row r="5" customFormat="false" ht="15" hidden="false" customHeight="false" outlineLevel="0" collapsed="false">
      <c r="A5" s="4" t="s">
        <v>44</v>
      </c>
      <c r="B5" s="6" t="n">
        <v>0</v>
      </c>
      <c r="C5" s="9" t="n">
        <f aca="false">-Premissas!C13</f>
        <v>-700</v>
      </c>
      <c r="D5" s="9" t="n">
        <f aca="false">-Premissas!D13</f>
        <v>-1340</v>
      </c>
      <c r="E5" s="8" t="n">
        <f aca="false">SUM(B5:D5)</f>
        <v>-2040</v>
      </c>
    </row>
    <row r="6" customFormat="false" ht="15" hidden="false" customHeight="false" outlineLevel="0" collapsed="false">
      <c r="A6" s="4" t="s">
        <v>45</v>
      </c>
      <c r="B6" s="6" t="n">
        <v>0</v>
      </c>
      <c r="C6" s="9" t="n">
        <f aca="false">-Premissas!C15*(1-Premissas!C17)</f>
        <v>-750</v>
      </c>
      <c r="D6" s="9" t="n">
        <f aca="false">-Premissas!D15*(1-Premissas!D17)</f>
        <v>-750</v>
      </c>
      <c r="E6" s="8" t="n">
        <f aca="false">SUM(B6:D6)</f>
        <v>-1500</v>
      </c>
    </row>
    <row r="7" customFormat="false" ht="15" hidden="false" customHeight="false" outlineLevel="0" collapsed="false">
      <c r="A7" s="4" t="s">
        <v>46</v>
      </c>
      <c r="B7" s="6" t="n">
        <v>0</v>
      </c>
      <c r="C7" s="9" t="n">
        <f aca="false">-Premissas!C16*(1-Premissas!C17)</f>
        <v>-600</v>
      </c>
      <c r="D7" s="9" t="n">
        <f aca="false">-Premissas!D16*(1-Premissas!D17)</f>
        <v>-600</v>
      </c>
      <c r="E7" s="8" t="n">
        <f aca="false">SUM(B7:D7)</f>
        <v>-1200</v>
      </c>
    </row>
    <row r="8" customFormat="false" ht="15" hidden="false" customHeight="false" outlineLevel="0" collapsed="false">
      <c r="A8" s="4" t="s">
        <v>47</v>
      </c>
      <c r="B8" s="9" t="n">
        <f aca="false">-(Premissas!C15+Premissas!C16)*Premissas!C17</f>
        <v>-0</v>
      </c>
      <c r="C8" s="9" t="n">
        <f aca="false">-(Premissas!D15+Premissas!D16)*Premissas!D17</f>
        <v>-0</v>
      </c>
      <c r="D8" s="9" t="n">
        <f aca="false">-(Premissas!E15+Premissas!E16)*Premissas!E17</f>
        <v>-1350</v>
      </c>
      <c r="E8" s="8" t="n">
        <f aca="false">SUM(B8:D8)</f>
        <v>-1350</v>
      </c>
    </row>
    <row r="9" customFormat="false" ht="15" hidden="false" customHeight="false" outlineLevel="0" collapsed="false">
      <c r="A9" s="2" t="s">
        <v>48</v>
      </c>
      <c r="B9" s="10" t="n">
        <f aca="false">SUM(B3:B8)</f>
        <v>3200</v>
      </c>
      <c r="C9" s="10" t="n">
        <f aca="false">SUM(C3:C8)</f>
        <v>-350</v>
      </c>
      <c r="D9" s="10" t="n">
        <f aca="false">SUM(D3:D8)</f>
        <v>1260</v>
      </c>
      <c r="E9" s="10" t="n">
        <f aca="false">SUM(B9:D9)</f>
        <v>4110</v>
      </c>
    </row>
    <row r="11" customFormat="false" ht="15" hidden="false" customHeight="false" outlineLevel="0" collapsed="false">
      <c r="A11" s="4" t="s">
        <v>49</v>
      </c>
      <c r="B11" s="9" t="n">
        <f aca="false">-DRE!C8</f>
        <v>-1150</v>
      </c>
      <c r="C11" s="9" t="n">
        <f aca="false">-DRE!D8</f>
        <v>-1370</v>
      </c>
      <c r="D11" s="9" t="n">
        <f aca="false">-DRE!E8</f>
        <v>-1590</v>
      </c>
      <c r="E11" s="8" t="n">
        <f aca="false">SUM(B11:D11)</f>
        <v>-4110</v>
      </c>
    </row>
    <row r="12" customFormat="false" ht="15" hidden="false" customHeight="false" outlineLevel="0" collapsed="false">
      <c r="A12" s="2" t="s">
        <v>50</v>
      </c>
      <c r="B12" s="10" t="n">
        <f aca="false">B9+B11</f>
        <v>2050</v>
      </c>
      <c r="C12" s="10" t="n">
        <f aca="false">C9+C11</f>
        <v>-1720</v>
      </c>
      <c r="D12" s="10" t="n">
        <f aca="false">D9+D11</f>
        <v>-330</v>
      </c>
      <c r="E12" s="10" t="n">
        <f aca="false">SUM(B12:D12)</f>
        <v>0</v>
      </c>
    </row>
    <row r="13" customFormat="false" ht="15" hidden="false" customHeight="false" outlineLevel="0" collapsed="false">
      <c r="A13" s="4" t="s">
        <v>51</v>
      </c>
      <c r="B13" s="6" t="n">
        <v>0</v>
      </c>
      <c r="C13" s="8" t="n">
        <f aca="false">B14</f>
        <v>2050</v>
      </c>
      <c r="D13" s="8" t="n">
        <f aca="false">C14</f>
        <v>330</v>
      </c>
      <c r="E13" s="8" t="n">
        <f aca="false">B13</f>
        <v>0</v>
      </c>
    </row>
    <row r="14" customFormat="false" ht="15" hidden="false" customHeight="false" outlineLevel="0" collapsed="false">
      <c r="A14" s="2" t="s">
        <v>52</v>
      </c>
      <c r="B14" s="10" t="n">
        <f aca="false">B12+B13</f>
        <v>2050</v>
      </c>
      <c r="C14" s="10" t="n">
        <f aca="false">C12+C13</f>
        <v>330</v>
      </c>
      <c r="D14" s="10" t="n">
        <f aca="false">D12+D13</f>
        <v>0</v>
      </c>
      <c r="E14" s="10" t="n">
        <f aca="false">E12+E13</f>
        <v>0</v>
      </c>
    </row>
    <row r="16" customFormat="false" ht="15" hidden="false" customHeight="false" outlineLevel="0" collapsed="false">
      <c r="A16" s="4" t="s">
        <v>53</v>
      </c>
      <c r="B16" s="8" t="n">
        <f aca="false">B9-Premissas!C28</f>
        <v>0</v>
      </c>
      <c r="C16" s="8" t="n">
        <f aca="false">C9-Premissas!D28</f>
        <v>0</v>
      </c>
      <c r="D16" s="8" t="n">
        <f aca="false">D9-Premissas!E28</f>
        <v>0</v>
      </c>
    </row>
    <row r="18" customFormat="false" ht="15" hidden="false" customHeight="false" outlineLevel="0" collapsed="false">
      <c r="A18" s="4" t="s">
        <v>54</v>
      </c>
      <c r="B18" s="8" t="n">
        <f aca="false">-E11</f>
        <v>4110</v>
      </c>
    </row>
    <row r="19" customFormat="false" ht="15" hidden="false" customHeight="false" outlineLevel="0" collapsed="false">
      <c r="A19" s="4" t="s">
        <v>55</v>
      </c>
      <c r="B19" s="9" t="n">
        <f aca="false">DRE!F8</f>
        <v>4110</v>
      </c>
    </row>
    <row r="20" customFormat="false" ht="15" hidden="false" customHeight="false" outlineLevel="0" collapsed="false">
      <c r="A20" s="4" t="s">
        <v>56</v>
      </c>
      <c r="B20" s="8" t="n">
        <f aca="false">E9</f>
        <v>4110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57</v>
      </c>
    </row>
    <row r="2" customFormat="false" ht="15" hidden="false" customHeight="false" outlineLevel="0" collapsed="false">
      <c r="B2" s="2" t="s">
        <v>58</v>
      </c>
      <c r="C2" s="2" t="s">
        <v>59</v>
      </c>
      <c r="D2" s="2" t="s">
        <v>60</v>
      </c>
    </row>
    <row r="3" customFormat="false" ht="15" hidden="false" customHeight="false" outlineLevel="0" collapsed="false">
      <c r="A3" s="2" t="s">
        <v>61</v>
      </c>
    </row>
    <row r="4" customFormat="false" ht="15" hidden="false" customHeight="false" outlineLevel="0" collapsed="false">
      <c r="A4" s="4" t="s">
        <v>62</v>
      </c>
      <c r="B4" s="9" t="n">
        <f aca="false">DFC!B14</f>
        <v>2050</v>
      </c>
      <c r="C4" s="9" t="n">
        <f aca="false">DFC!C14</f>
        <v>330</v>
      </c>
      <c r="D4" s="9" t="n">
        <f aca="false">DFC!D14</f>
        <v>0</v>
      </c>
    </row>
    <row r="5" customFormat="false" ht="15" hidden="false" customHeight="false" outlineLevel="0" collapsed="false">
      <c r="A5" s="4" t="s">
        <v>63</v>
      </c>
      <c r="B5" s="9" t="n">
        <f aca="false">Premissas!C11*(1-Premissas!C12)</f>
        <v>0</v>
      </c>
      <c r="C5" s="9" t="n">
        <f aca="false">Premissas!D11*(1-Premissas!D12)</f>
        <v>1700</v>
      </c>
      <c r="D5" s="9" t="n">
        <f aca="false">Premissas!E11*(1-Premissas!E12)</f>
        <v>0</v>
      </c>
    </row>
    <row r="6" customFormat="false" ht="15" hidden="false" customHeight="false" outlineLevel="0" collapsed="false">
      <c r="A6" s="4" t="s">
        <v>64</v>
      </c>
      <c r="B6" s="9" t="n">
        <f aca="false">Premissas!C13-Premissas!C14</f>
        <v>0</v>
      </c>
      <c r="C6" s="9" t="n">
        <f aca="false">B6+Premissas!D13-Premissas!D14</f>
        <v>660</v>
      </c>
      <c r="D6" s="9" t="n">
        <f aca="false">C6+Premissas!E13-Premissas!E14</f>
        <v>0</v>
      </c>
    </row>
    <row r="7" customFormat="false" ht="15" hidden="false" customHeight="false" outlineLevel="0" collapsed="false">
      <c r="A7" s="2" t="s">
        <v>65</v>
      </c>
      <c r="B7" s="10" t="n">
        <f aca="false">SUM(B4:B6)</f>
        <v>2050</v>
      </c>
      <c r="C7" s="10" t="n">
        <f aca="false">SUM(C4:C6)</f>
        <v>2690</v>
      </c>
      <c r="D7" s="10" t="n">
        <f aca="false">SUM(D4:D6)</f>
        <v>0</v>
      </c>
    </row>
    <row r="9" customFormat="false" ht="15" hidden="false" customHeight="false" outlineLevel="0" collapsed="false">
      <c r="A9" s="2" t="s">
        <v>66</v>
      </c>
    </row>
    <row r="10" customFormat="false" ht="15" hidden="false" customHeight="false" outlineLevel="0" collapsed="false">
      <c r="A10" s="4" t="s">
        <v>67</v>
      </c>
      <c r="B10" s="9" t="n">
        <f aca="false">Premissas!C13</f>
        <v>700</v>
      </c>
      <c r="C10" s="9" t="n">
        <f aca="false">Premissas!D13</f>
        <v>1340</v>
      </c>
      <c r="D10" s="9" t="n">
        <f aca="false">Premissas!E13</f>
        <v>0</v>
      </c>
    </row>
    <row r="11" customFormat="false" ht="15" hidden="false" customHeight="false" outlineLevel="0" collapsed="false">
      <c r="A11" s="4" t="s">
        <v>68</v>
      </c>
      <c r="B11" s="9" t="n">
        <f aca="false">Premissas!C15*(1-Premissas!C17)</f>
        <v>750</v>
      </c>
      <c r="C11" s="9" t="n">
        <f aca="false">Premissas!D15*(1-Premissas!D17)</f>
        <v>750</v>
      </c>
      <c r="D11" s="9" t="n">
        <f aca="false">Premissas!E15*(1-Premissas!E17)</f>
        <v>0</v>
      </c>
    </row>
    <row r="12" customFormat="false" ht="15" hidden="false" customHeight="false" outlineLevel="0" collapsed="false">
      <c r="A12" s="4" t="s">
        <v>69</v>
      </c>
      <c r="B12" s="9" t="n">
        <f aca="false">Premissas!C16*(1-Premissas!C17)</f>
        <v>600</v>
      </c>
      <c r="C12" s="9" t="n">
        <f aca="false">Premissas!D16*(1-Premissas!D17)</f>
        <v>600</v>
      </c>
      <c r="D12" s="9" t="n">
        <f aca="false">Premissas!E16*(1-Premissas!E17)</f>
        <v>0</v>
      </c>
    </row>
    <row r="13" customFormat="false" ht="15" hidden="false" customHeight="false" outlineLevel="0" collapsed="false">
      <c r="A13" s="2" t="s">
        <v>70</v>
      </c>
      <c r="B13" s="10" t="n">
        <f aca="false">SUM(B10:B12)</f>
        <v>2050</v>
      </c>
      <c r="C13" s="10" t="n">
        <f aca="false">SUM(C10:C12)</f>
        <v>2690</v>
      </c>
      <c r="D13" s="10" t="n">
        <f aca="false">SUM(D10:D12)</f>
        <v>0</v>
      </c>
    </row>
    <row r="15" customFormat="false" ht="15" hidden="false" customHeight="false" outlineLevel="0" collapsed="false">
      <c r="A15" s="2" t="s">
        <v>71</v>
      </c>
    </row>
    <row r="16" customFormat="false" ht="15" hidden="false" customHeight="false" outlineLevel="0" collapsed="false">
      <c r="A16" s="4" t="s">
        <v>72</v>
      </c>
      <c r="B16" s="6" t="n">
        <v>0</v>
      </c>
      <c r="C16" s="8" t="n">
        <f aca="false">B16</f>
        <v>0</v>
      </c>
      <c r="D16" s="8" t="n">
        <f aca="false">C16</f>
        <v>0</v>
      </c>
    </row>
    <row r="17" customFormat="false" ht="15" hidden="false" customHeight="false" outlineLevel="0" collapsed="false">
      <c r="A17" s="4" t="s">
        <v>73</v>
      </c>
      <c r="B17" s="9" t="n">
        <f aca="false">DRE!C8+DFC!B11</f>
        <v>0</v>
      </c>
      <c r="C17" s="9" t="n">
        <f aca="false">B17+DRE!D8+DFC!C11</f>
        <v>0</v>
      </c>
      <c r="D17" s="9" t="n">
        <f aca="false">C17+DRE!E8+DFC!D11</f>
        <v>0</v>
      </c>
    </row>
    <row r="18" customFormat="false" ht="15" hidden="false" customHeight="false" outlineLevel="0" collapsed="false">
      <c r="A18" s="2" t="s">
        <v>74</v>
      </c>
      <c r="B18" s="10" t="n">
        <f aca="false">B16+B17</f>
        <v>0</v>
      </c>
      <c r="C18" s="10" t="n">
        <f aca="false">C16+C17</f>
        <v>0</v>
      </c>
      <c r="D18" s="10" t="n">
        <f aca="false">D16+D17</f>
        <v>0</v>
      </c>
    </row>
    <row r="20" customFormat="false" ht="15" hidden="false" customHeight="false" outlineLevel="0" collapsed="false">
      <c r="A20" s="2" t="s">
        <v>75</v>
      </c>
      <c r="B20" s="10" t="n">
        <f aca="false">B13+B18</f>
        <v>2050</v>
      </c>
      <c r="C20" s="10" t="n">
        <f aca="false">C13+C18</f>
        <v>2690</v>
      </c>
      <c r="D20" s="10" t="n">
        <f aca="false">D13+D18</f>
        <v>0</v>
      </c>
    </row>
    <row r="21" customFormat="false" ht="15" hidden="false" customHeight="false" outlineLevel="0" collapsed="false">
      <c r="A21" s="4" t="s">
        <v>76</v>
      </c>
      <c r="B21" s="8" t="n">
        <f aca="false">B7-B20</f>
        <v>0</v>
      </c>
      <c r="C21" s="8" t="n">
        <f aca="false">C7-C20</f>
        <v>0</v>
      </c>
      <c r="D21" s="8" t="n">
        <f aca="false">D7-D20</f>
        <v>0</v>
      </c>
    </row>
    <row r="23" customFormat="false" ht="15" hidden="false" customHeight="false" outlineLevel="0" collapsed="false">
      <c r="A23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2026-08-17T13:03:30Z</dcterms:created>
  <dc:creator>openpyxl</dc:creator>
  <dc:description/>
  <dc:language>pt-BR</dc:language>
  <cp:lastModifiedBy/>
  <dcterms:modified xsi:type="dcterms:W3CDTF">2026-08-17T13:03:30Z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