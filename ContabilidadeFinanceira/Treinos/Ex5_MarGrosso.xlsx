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Cervejaria Mar Grosso S.A.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Vendas do ano de 520, sendo 380 à vista e 140 a prazo; o custo das mercadorias vendidas foi de 300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IF(COUNT(D6:D8,G6:G8,J6:J8)=0,"",IF(SUM(D6:D8)-SUM(G6:G8)-SUM(J6:J8)=0,"✔","✗"))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</row>
    <row r="9">
      <c r="A9" s="6" t="n">
        <v>2</v>
      </c>
      <c r="B9" s="7" t="inlineStr">
        <is>
          <t>Compras de estoque no ano: 330, integralmente a prazo</t>
        </is>
      </c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  <c r="K9" s="6">
        <f>IF(COUNT(D9:D10,G9:G10,J9:J10)=0,"",IF(SUM(D9:D10)-SUM(G9:G10)-SUM(J9:J10)=0,"✔","✗"))</f>
        <v/>
      </c>
    </row>
    <row r="10"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</row>
    <row r="11">
      <c r="A11" s="6" t="n">
        <v>3</v>
      </c>
      <c r="B11" s="7" t="inlineStr">
        <is>
          <t>Recebimento de 95 de clientes, referente a vendas de anos anteriores</t>
        </is>
      </c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  <c r="K11" s="6">
        <f>IF(COUNT(D11:D12,G11:G12,J11:J12)=0,"",IF(SUM(D11:D12)-SUM(G11:G12)-SUM(J11:J12)=0,"✔","✗"))</f>
        <v/>
      </c>
    </row>
    <row r="12"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</row>
    <row r="13">
      <c r="A13" s="6" t="n">
        <v>4</v>
      </c>
      <c r="B13" s="7" t="inlineStr">
        <is>
          <t>Pagamento de 310 a fornecedores</t>
        </is>
      </c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  <c r="K13" s="6">
        <f>IF(COUNT(D13:D14,G13:G14,J13:J14)=0,"",IF(SUM(D13:D14)-SUM(G13:G14)-SUM(J13:J14)=0,"✔","✗"))</f>
        <v/>
      </c>
    </row>
    <row r="14"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Cliente corporativo adianta 25 por uma encomenda que só será entregue no ano seguinte</t>
        </is>
      </c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Despesas de vendas e administrativas de 90, pagas à vista</t>
        </is>
      </c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  <row r="19">
      <c r="A19" s="6" t="n">
        <v>7</v>
      </c>
      <c r="B19" s="7" t="inlineStr">
        <is>
          <t>Depreciação do imobilizado no ano: 30</t>
        </is>
      </c>
      <c r="C19" s="8" t="n"/>
      <c r="D19" s="9" t="n"/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  <c r="K19" s="6">
        <f>IF(COUNT(D19:D20,G19:G20,J19:J20)=0,"",IF(SUM(D19:D20)-SUM(G19:G20)-SUM(J19:J20)=0,"✔","✗"))</f>
        <v/>
      </c>
    </row>
    <row r="20"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Captação de novo empréstimo bancário de 80</t>
        </is>
      </c>
      <c r="C21" s="8" t="n"/>
      <c r="D21" s="9" t="n"/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  <c r="K21" s="6">
        <f>IF(COUNT(D21:D22,G21:G22,J21:J22)=0,"",IF(SUM(D21:D22)-SUM(G21:G22)-SUM(J21:J22)=0,"✔","✗"))</f>
        <v/>
      </c>
    </row>
    <row r="22">
      <c r="C22" s="8" t="n"/>
      <c r="D22" s="9" t="n"/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  <row r="23">
      <c r="A23" s="6" t="n">
        <v>9</v>
      </c>
      <c r="B23" s="7" t="inlineStr">
        <is>
          <t>Amortização de 50 do principal da dívida e pagamento de 10 de juros do período</t>
        </is>
      </c>
      <c r="C23" s="8" t="n"/>
      <c r="D23" s="9" t="n"/>
      <c r="E23" s="10" t="inlineStr">
        <is>
          <t>=</t>
        </is>
      </c>
      <c r="F23" s="8" t="n"/>
      <c r="G23" s="9" t="n"/>
      <c r="H23" s="10" t="inlineStr">
        <is>
          <t>+</t>
        </is>
      </c>
      <c r="I23" s="8" t="n"/>
      <c r="J23" s="9" t="n"/>
      <c r="K23" s="6">
        <f>IF(COUNT(D23:D24,G23:G24,J23:J24)=0,"",IF(SUM(D23:D24)-SUM(G23:G24)-SUM(J23:J24)=0,"✔","✗"))</f>
        <v/>
      </c>
    </row>
    <row r="24">
      <c r="C24" s="8" t="n"/>
      <c r="D24" s="9" t="n"/>
      <c r="E24" s="10" t="inlineStr">
        <is>
          <t>=</t>
        </is>
      </c>
      <c r="F24" s="8" t="n"/>
      <c r="G24" s="9" t="n"/>
      <c r="H24" s="10" t="inlineStr">
        <is>
          <t>+</t>
        </is>
      </c>
      <c r="I24" s="8" t="n"/>
      <c r="J24" s="9" t="n"/>
    </row>
    <row r="25">
      <c r="A25" s="6" t="n">
        <v>10</v>
      </c>
      <c r="B25" s="7" t="inlineStr">
        <is>
          <t>Compra de um novo forno por 120, pagando 45 à vista e 75 em financiamento de longo prazo</t>
        </is>
      </c>
      <c r="C25" s="8" t="n"/>
      <c r="D25" s="9" t="n"/>
      <c r="E25" s="10" t="inlineStr">
        <is>
          <t>=</t>
        </is>
      </c>
      <c r="F25" s="8" t="n"/>
      <c r="G25" s="9" t="n"/>
      <c r="H25" s="10" t="inlineStr">
        <is>
          <t>+</t>
        </is>
      </c>
      <c r="I25" s="8" t="n"/>
      <c r="J25" s="9" t="n"/>
      <c r="K25" s="6">
        <f>IF(COUNT(D25:D26,G25:G26,J25:J26)=0,"",IF(SUM(D25:D26)-SUM(G25:G26)-SUM(J25:J26)=0,"✔","✗"))</f>
        <v/>
      </c>
    </row>
    <row r="26">
      <c r="C26" s="8" t="n"/>
      <c r="D26" s="9" t="n"/>
      <c r="E26" s="10" t="inlineStr">
        <is>
          <t>=</t>
        </is>
      </c>
      <c r="F26" s="8" t="n"/>
      <c r="G26" s="9" t="n"/>
      <c r="H26" s="10" t="inlineStr">
        <is>
          <t>+</t>
        </is>
      </c>
      <c r="I26" s="8" t="n"/>
      <c r="J26" s="9" t="n"/>
    </row>
    <row r="27">
      <c r="A27" s="6" t="n">
        <v>11</v>
      </c>
      <c r="B27" s="7" t="inlineStr">
        <is>
          <t>IR e CSLL do ano: 27, sendo 20 pagos à vista e 7 a recolher no ano seguinte</t>
        </is>
      </c>
      <c r="C27" s="8" t="n"/>
      <c r="D27" s="9" t="n"/>
      <c r="E27" s="10" t="inlineStr">
        <is>
          <t>=</t>
        </is>
      </c>
      <c r="F27" s="8" t="n"/>
      <c r="G27" s="9" t="n"/>
      <c r="H27" s="10" t="inlineStr">
        <is>
          <t>+</t>
        </is>
      </c>
      <c r="I27" s="8" t="n"/>
      <c r="J27" s="9" t="n"/>
      <c r="K27" s="6">
        <f>IF(COUNT(D27:D28,G27:G28,J27:J28)=0,"",IF(SUM(D27:D28)-SUM(G27:G28)-SUM(J27:J28)=0,"✔","✗"))</f>
        <v/>
      </c>
    </row>
    <row r="28">
      <c r="C28" s="8" t="n"/>
      <c r="D28" s="9" t="n"/>
      <c r="E28" s="10" t="inlineStr">
        <is>
          <t>=</t>
        </is>
      </c>
      <c r="F28" s="8" t="n"/>
      <c r="G28" s="9" t="n"/>
      <c r="H28" s="10" t="inlineStr">
        <is>
          <t>+</t>
        </is>
      </c>
      <c r="I28" s="8" t="n"/>
      <c r="J28" s="9" t="n"/>
    </row>
    <row r="29">
      <c r="A29" s="6" t="n">
        <v>12</v>
      </c>
      <c r="B29" s="7" t="inlineStr">
        <is>
          <t>Dividendos de 25 declarados e pagos em dinheiro</t>
        </is>
      </c>
      <c r="C29" s="8" t="n"/>
      <c r="D29" s="9" t="n"/>
      <c r="E29" s="10" t="inlineStr">
        <is>
          <t>=</t>
        </is>
      </c>
      <c r="F29" s="8" t="n"/>
      <c r="G29" s="9" t="n"/>
      <c r="H29" s="10" t="inlineStr">
        <is>
          <t>+</t>
        </is>
      </c>
      <c r="I29" s="8" t="n"/>
      <c r="J29" s="9" t="n"/>
      <c r="K29" s="6">
        <f>IF(COUNT(D29:D30,G29:G30,J29:J30)=0,"",IF(SUM(D29:D30)-SUM(G29:G30)-SUM(J29:J30)=0,"✔","✗"))</f>
        <v/>
      </c>
    </row>
    <row r="30">
      <c r="C30" s="8" t="n"/>
      <c r="D30" s="9" t="n"/>
      <c r="E30" s="10" t="inlineStr">
        <is>
          <t>=</t>
        </is>
      </c>
      <c r="F30" s="8" t="n"/>
      <c r="G30" s="9" t="n"/>
      <c r="H30" s="10" t="inlineStr">
        <is>
          <t>+</t>
        </is>
      </c>
      <c r="I30" s="8" t="n"/>
      <c r="J30" s="9" t="n"/>
    </row>
  </sheetData>
  <mergeCells count="39">
    <mergeCell ref="F4:G4"/>
    <mergeCell ref="B27:B28"/>
    <mergeCell ref="K21:K22"/>
    <mergeCell ref="B17:B18"/>
    <mergeCell ref="B11:B12"/>
    <mergeCell ref="B29:B30"/>
    <mergeCell ref="C4:D4"/>
    <mergeCell ref="B23:B24"/>
    <mergeCell ref="A27:A28"/>
    <mergeCell ref="K6:K8"/>
    <mergeCell ref="K11:K12"/>
    <mergeCell ref="K27:K28"/>
    <mergeCell ref="B13:B14"/>
    <mergeCell ref="A25:A26"/>
    <mergeCell ref="B19:B20"/>
    <mergeCell ref="B15:B16"/>
    <mergeCell ref="A21:A22"/>
    <mergeCell ref="B9:B10"/>
    <mergeCell ref="A17:A18"/>
    <mergeCell ref="K17:K18"/>
    <mergeCell ref="A13:A14"/>
    <mergeCell ref="K23:K24"/>
    <mergeCell ref="B6:B8"/>
    <mergeCell ref="A29:A30"/>
    <mergeCell ref="K13:K14"/>
    <mergeCell ref="A23:A24"/>
    <mergeCell ref="A6:A8"/>
    <mergeCell ref="A19:A20"/>
    <mergeCell ref="K19:K20"/>
    <mergeCell ref="I4:J4"/>
    <mergeCell ref="K9:K10"/>
    <mergeCell ref="A9:A10"/>
    <mergeCell ref="K25:K26"/>
    <mergeCell ref="A15:A16"/>
    <mergeCell ref="B25:B26"/>
    <mergeCell ref="K15:K16"/>
    <mergeCell ref="K29:K30"/>
    <mergeCell ref="B21:B22"/>
    <mergeCell ref="A11:A12"/>
  </mergeCells>
  <dataValidations count="3">
    <dataValidation sqref="C6 C7 C8 C9 C10 C11 C12 C13 C14 C15 C16 C17 C18 C19 C20 C21 C22 C23 C24 C25 C26 C27 C28 C29 C30" showDropDown="0" showInputMessage="0" showErrorMessage="0" allowBlank="1" type="list">
      <formula1>"Caixa,Contas a Receber,Estoques,Imobilizado,(-) Depreciação Acumulada"</formula1>
    </dataValidation>
    <dataValidation sqref="F6 F7 F8 F9 F10 F11 F12 F13 F14 F15 F16 F17 F18 F19 F20 F21 F22 F23 F24 F25 F26 F27 F28 F29 F30" showDropDown="0" showInputMessage="0" showErrorMessage="0" allowBlank="1" type="list">
      <formula1>"Fornecedores,Adiantamentos de Clientes,IR a Pagar,Empréstimos,Financiamento a Pagar (LP)"</formula1>
    </dataValidation>
    <dataValidation sqref="I6 I7 I8 I9 I10 I11 I12 I13 I14 I15 I16 I17 I18 I19 I20 I21 I22 I23 I24 I25 I26 I27 I28 I29 I30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" customWidth="1" min="17" max="17"/>
    <col width="13" customWidth="1" min="18" max="18"/>
  </cols>
  <sheetData>
    <row r="1">
      <c r="B1" s="1" t="inlineStr">
        <is>
          <t>Cervejaria Mar Grosso S.A.  |  Ano 2  |  valores em R$ mil</t>
        </is>
      </c>
      <c r="D1" s="11" t="inlineStr">
        <is>
          <t>Transações, por Número e Descrição</t>
        </is>
      </c>
    </row>
    <row r="2" ht="42" customHeight="1">
      <c r="D2" s="12" t="inlineStr">
        <is>
          <t>Vendas do ano de 520, sendo 380 à vista e 140 a prazo; o cus</t>
        </is>
      </c>
      <c r="E2" s="12" t="inlineStr">
        <is>
          <t>Compras de estoque no ano: 330, integralmente a prazo</t>
        </is>
      </c>
      <c r="F2" s="12" t="inlineStr">
        <is>
          <t>Recebimento de 95 de clientes, referente a vendas de anos an</t>
        </is>
      </c>
      <c r="G2" s="12" t="inlineStr">
        <is>
          <t>Pagamento de 310 a fornecedores</t>
        </is>
      </c>
      <c r="H2" s="12" t="inlineStr">
        <is>
          <t>Cliente corporativo adianta 25 por uma encomenda que só será</t>
        </is>
      </c>
      <c r="I2" s="12" t="inlineStr">
        <is>
          <t>Despesas de vendas e administrativas de 90, pagas à vista</t>
        </is>
      </c>
      <c r="J2" s="12" t="inlineStr">
        <is>
          <t>Depreciação do imobilizado no ano: 30</t>
        </is>
      </c>
      <c r="K2" s="12" t="inlineStr">
        <is>
          <t>Captação de novo empréstimo bancário de 80</t>
        </is>
      </c>
      <c r="L2" s="12" t="inlineStr">
        <is>
          <t>Amortização de 50 do principal da dívida e pagamento de 10 d</t>
        </is>
      </c>
      <c r="M2" s="12" t="inlineStr">
        <is>
          <t xml:space="preserve">Compra de um novo forno por 120, pagando 45 à vista e 75 em </t>
        </is>
      </c>
      <c r="N2" s="12" t="inlineStr">
        <is>
          <t xml:space="preserve">IR e CSLL do ano: 27, sendo 20 pagos à vista e 7 a recolher </t>
        </is>
      </c>
      <c r="O2" s="12" t="inlineStr">
        <is>
          <t>Dividendos de 25 declarados e pagos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40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7">
        <f>C6+SUM(D6:O6)</f>
        <v/>
      </c>
      <c r="R6" s="18">
        <f>IF(COUNT(D6:O6)=0,"",IF(ABS(P6-Gabarito!P6)&lt;0.5,"✔","✗"))</f>
        <v/>
      </c>
    </row>
    <row r="7">
      <c r="B7" t="inlineStr">
        <is>
          <t>Contas a Receber</t>
        </is>
      </c>
      <c r="C7" s="16" t="n">
        <v>60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7">
        <f>C7+SUM(D7:O7)</f>
        <v/>
      </c>
      <c r="R7" s="18">
        <f>IF(COUNT(D7:O7)=0,"",IF(ABS(P7-Gabarito!P7)&lt;0.5,"✔","✗"))</f>
        <v/>
      </c>
    </row>
    <row r="8">
      <c r="B8" t="inlineStr">
        <is>
          <t>Estoques</t>
        </is>
      </c>
      <c r="C8" s="16" t="n">
        <v>90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17">
        <f>C8+SUM(D8:O8)</f>
        <v/>
      </c>
      <c r="R8" s="18">
        <f>IF(COUNT(D8:O8)=0,"",IF(ABS(P8-Gabarito!P8)&lt;0.5,"✔","✗"))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>
        <v>300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7">
        <f>C10+SUM(D10:O10)</f>
        <v/>
      </c>
      <c r="R10" s="18">
        <f>IF(COUNT(D10:O10)=0,"",IF(ABS(P10-Gabarito!P10)&lt;0.5,"✔","✗"))</f>
        <v/>
      </c>
    </row>
    <row r="11">
      <c r="B11" t="inlineStr">
        <is>
          <t>(-) Depreciação Acumulada</t>
        </is>
      </c>
      <c r="C11" s="16" t="n">
        <v>-60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7">
        <f>C11+SUM(D11:O11)</f>
        <v/>
      </c>
      <c r="R11" s="18">
        <f>IF(COUNT(D11:O11)=0,"",IF(ABS(P11-Gabarito!P11)&lt;0.5,"✔","✗"))</f>
        <v/>
      </c>
    </row>
    <row r="12">
      <c r="B12" s="19" t="inlineStr">
        <is>
          <t xml:space="preserve">  Total do Ativo</t>
        </is>
      </c>
      <c r="C12" s="20">
        <f>SUM(C6:C11)</f>
        <v/>
      </c>
      <c r="D12" s="20">
        <f>SUM(D6:D11)</f>
        <v/>
      </c>
      <c r="E12" s="20">
        <f>SUM(E6:E11)</f>
        <v/>
      </c>
      <c r="F12" s="20">
        <f>SUM(F6:F11)</f>
        <v/>
      </c>
      <c r="G12" s="20">
        <f>SUM(G6:G11)</f>
        <v/>
      </c>
      <c r="H12" s="20">
        <f>SUM(H6:H11)</f>
        <v/>
      </c>
      <c r="I12" s="20">
        <f>SUM(I6:I11)</f>
        <v/>
      </c>
      <c r="J12" s="20">
        <f>SUM(J6:J11)</f>
        <v/>
      </c>
      <c r="K12" s="20">
        <f>SUM(K6:K11)</f>
        <v/>
      </c>
      <c r="L12" s="20">
        <f>SUM(L6:L11)</f>
        <v/>
      </c>
      <c r="M12" s="20">
        <f>SUM(M6:M11)</f>
        <v/>
      </c>
      <c r="N12" s="20">
        <f>SUM(N6:N11)</f>
        <v/>
      </c>
      <c r="O12" s="20">
        <f>SUM(O6:O11)</f>
        <v/>
      </c>
      <c r="P12" s="20">
        <f>SUM(P6:P11)</f>
        <v/>
      </c>
    </row>
    <row r="13">
      <c r="B13" s="14" t="inlineStr">
        <is>
          <t>PASSIVO E PATRIM. LÍQUIDO</t>
        </is>
      </c>
    </row>
    <row r="14">
      <c r="B14" s="15" t="inlineStr">
        <is>
          <t>Passivo Circulante:</t>
        </is>
      </c>
    </row>
    <row r="15">
      <c r="B15" t="inlineStr">
        <is>
          <t>Fornecedores</t>
        </is>
      </c>
      <c r="C15" s="16" t="n">
        <v>70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7">
        <f>C15+SUM(D15:O15)</f>
        <v/>
      </c>
      <c r="R15" s="18">
        <f>IF(COUNT(D15:O15)=0,"",IF(ABS(P15-Gabarito!P15)&lt;0.5,"✔","✗"))</f>
        <v/>
      </c>
    </row>
    <row r="16">
      <c r="B16" t="inlineStr">
        <is>
          <t>Adiantamentos de Clientes</t>
        </is>
      </c>
      <c r="C16" s="16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7">
        <f>C16+SUM(D16:O16)</f>
        <v/>
      </c>
      <c r="R16" s="18">
        <f>IF(COUNT(D16:O16)=0,"",IF(ABS(P16-Gabarito!P16)&lt;0.5,"✔","✗"))</f>
        <v/>
      </c>
    </row>
    <row r="17">
      <c r="B17" t="inlineStr">
        <is>
          <t>IR a Pagar</t>
        </is>
      </c>
      <c r="C17" s="16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7">
        <f>C17+SUM(D17:O17)</f>
        <v/>
      </c>
      <c r="R17" s="18">
        <f>IF(COUNT(D17:O17)=0,"",IF(ABS(P17-Gabarito!P17)&lt;0.5,"✔","✗"))</f>
        <v/>
      </c>
    </row>
    <row r="18">
      <c r="B18" t="inlineStr">
        <is>
          <t>Empréstimos</t>
        </is>
      </c>
      <c r="C18" s="16" t="n">
        <v>100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7">
        <f>C18+SUM(D18:O18)</f>
        <v/>
      </c>
      <c r="R18" s="18">
        <f>IF(COUNT(D18:O18)=0,"",IF(ABS(P18-Gabarito!P18)&lt;0.5,"✔","✗"))</f>
        <v/>
      </c>
    </row>
    <row r="19">
      <c r="B19" s="15" t="inlineStr">
        <is>
          <t>Passivo Não Circulante:</t>
        </is>
      </c>
    </row>
    <row r="20">
      <c r="B20" t="inlineStr">
        <is>
          <t>Financiamento a Pagar (LP)</t>
        </is>
      </c>
      <c r="C20" s="16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7">
        <f>C20+SUM(D20:O20)</f>
        <v/>
      </c>
      <c r="R20" s="18">
        <f>IF(COUNT(D20:O20)=0,"",IF(ABS(P20-Gabarito!P20)&lt;0.5,"✔","✗"))</f>
        <v/>
      </c>
    </row>
    <row r="21">
      <c r="B21" s="15" t="inlineStr">
        <is>
          <t>Patrimônio Líquido:</t>
        </is>
      </c>
    </row>
    <row r="22">
      <c r="B22" t="inlineStr">
        <is>
          <t>Capital Social</t>
        </is>
      </c>
      <c r="C22" s="16" t="n">
        <v>200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7">
        <f>C22+SUM(D22:O22)</f>
        <v/>
      </c>
      <c r="R22" s="18">
        <f>IF(COUNT(D22:O22)=0,"",IF(ABS(P22-Gabarito!P22)&lt;0.5,"✔","✗"))</f>
        <v/>
      </c>
    </row>
    <row r="23">
      <c r="B23" t="inlineStr">
        <is>
          <t>Lucros Acumulados</t>
        </is>
      </c>
      <c r="C23" s="16" t="n">
        <v>60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7">
        <f>C23+SUM(D23:O23)</f>
        <v/>
      </c>
      <c r="R23" s="18">
        <f>IF(COUNT(D23:O23)=0,"",IF(ABS(P23-Gabarito!P23)&lt;0.5,"✔","✗"))</f>
        <v/>
      </c>
    </row>
    <row r="24">
      <c r="B24" s="19" t="inlineStr">
        <is>
          <t>Total Passivo e Patrim. Líquido</t>
        </is>
      </c>
      <c r="C24" s="20">
        <f>SUM(C14:C23)</f>
        <v/>
      </c>
      <c r="D24" s="20">
        <f>SUM(D14:D23)</f>
        <v/>
      </c>
      <c r="E24" s="20">
        <f>SUM(E14:E23)</f>
        <v/>
      </c>
      <c r="F24" s="20">
        <f>SUM(F14:F23)</f>
        <v/>
      </c>
      <c r="G24" s="20">
        <f>SUM(G14:G23)</f>
        <v/>
      </c>
      <c r="H24" s="20">
        <f>SUM(H14:H23)</f>
        <v/>
      </c>
      <c r="I24" s="20">
        <f>SUM(I14:I23)</f>
        <v/>
      </c>
      <c r="J24" s="20">
        <f>SUM(J14:J23)</f>
        <v/>
      </c>
      <c r="K24" s="20">
        <f>SUM(K14:K23)</f>
        <v/>
      </c>
      <c r="L24" s="20">
        <f>SUM(L14:L23)</f>
        <v/>
      </c>
      <c r="M24" s="20">
        <f>SUM(M14:M23)</f>
        <v/>
      </c>
      <c r="N24" s="20">
        <f>SUM(N14:N23)</f>
        <v/>
      </c>
      <c r="O24" s="20">
        <f>SUM(O14:O23)</f>
        <v/>
      </c>
      <c r="P24" s="20">
        <f>SUM(P14:P23)</f>
        <v/>
      </c>
    </row>
    <row r="26">
      <c r="B26" s="21" t="inlineStr">
        <is>
          <t>Diferença, se houver (tem que dar zero)</t>
        </is>
      </c>
      <c r="C26" s="17">
        <f>C12-C24</f>
        <v/>
      </c>
      <c r="D26" s="17">
        <f>D12-D24</f>
        <v/>
      </c>
      <c r="E26" s="17">
        <f>E12-E24</f>
        <v/>
      </c>
      <c r="F26" s="17">
        <f>F12-F24</f>
        <v/>
      </c>
      <c r="G26" s="17">
        <f>G12-G24</f>
        <v/>
      </c>
      <c r="H26" s="17">
        <f>H12-H24</f>
        <v/>
      </c>
      <c r="I26" s="17">
        <f>I12-I24</f>
        <v/>
      </c>
      <c r="J26" s="17">
        <f>J12-J24</f>
        <v/>
      </c>
      <c r="K26" s="17">
        <f>K12-K24</f>
        <v/>
      </c>
      <c r="L26" s="17">
        <f>L12-L24</f>
        <v/>
      </c>
      <c r="M26" s="17">
        <f>M12-M24</f>
        <v/>
      </c>
      <c r="N26" s="17">
        <f>N12-N24</f>
        <v/>
      </c>
      <c r="O26" s="17">
        <f>O12-O24</f>
        <v/>
      </c>
      <c r="P26" s="17">
        <f>P12-P24</f>
        <v/>
      </c>
      <c r="R26" s="19">
        <f>IF(P26=0,"✔ fecha","✗ não fecha")</f>
        <v/>
      </c>
    </row>
    <row r="28">
      <c r="B28" s="13" t="inlineStr">
        <is>
          <t>Demonstração do Resultado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3" t="n">
        <v>7</v>
      </c>
      <c r="K28" s="3" t="n">
        <v>8</v>
      </c>
      <c r="L28" s="3" t="n">
        <v>9</v>
      </c>
      <c r="M28" s="3" t="n">
        <v>10</v>
      </c>
      <c r="N28" s="3" t="n">
        <v>11</v>
      </c>
      <c r="O28" s="3" t="n">
        <v>12</v>
      </c>
      <c r="P28" s="13" t="inlineStr">
        <is>
          <t>Ano 2</t>
        </is>
      </c>
      <c r="R28" s="22" t="inlineStr">
        <is>
          <t>Check</t>
        </is>
      </c>
    </row>
    <row r="29">
      <c r="B29" t="inlineStr">
        <is>
          <t>Receita Líquida de Vendas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7">
        <f>SUM(D29:O29)</f>
        <v/>
      </c>
      <c r="R29" s="18">
        <f>IF(COUNT(D29:O29)=0,"",IF(ABS(P29-Gabarito!P29)&lt;0.5,"✔","✗"))</f>
        <v/>
      </c>
    </row>
    <row r="30">
      <c r="B30" t="inlineStr">
        <is>
          <t>(-) Custo das Mercadorias Vendidas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7">
        <f>SUM(D30:O30)</f>
        <v/>
      </c>
      <c r="R30" s="18">
        <f>IF(COUNT(D30:O30)=0,"",IF(ABS(P30-Gabarito!P30)&lt;0.5,"✔","✗"))</f>
        <v/>
      </c>
    </row>
    <row r="31">
      <c r="B31" s="19" t="inlineStr">
        <is>
          <t xml:space="preserve">     (=) Lucro Bruto</t>
        </is>
      </c>
      <c r="D31" s="20">
        <f>SUM(D29:D30)</f>
        <v/>
      </c>
      <c r="E31" s="20">
        <f>SUM(E29:E30)</f>
        <v/>
      </c>
      <c r="F31" s="20">
        <f>SUM(F29:F30)</f>
        <v/>
      </c>
      <c r="G31" s="20">
        <f>SUM(G29:G30)</f>
        <v/>
      </c>
      <c r="H31" s="20">
        <f>SUM(H29:H30)</f>
        <v/>
      </c>
      <c r="I31" s="20">
        <f>SUM(I29:I30)</f>
        <v/>
      </c>
      <c r="J31" s="20">
        <f>SUM(J29:J30)</f>
        <v/>
      </c>
      <c r="K31" s="20">
        <f>SUM(K29:K30)</f>
        <v/>
      </c>
      <c r="L31" s="20">
        <f>SUM(L29:L30)</f>
        <v/>
      </c>
      <c r="M31" s="20">
        <f>SUM(M29:M30)</f>
        <v/>
      </c>
      <c r="N31" s="20">
        <f>SUM(N29:N30)</f>
        <v/>
      </c>
      <c r="O31" s="20">
        <f>SUM(O29:O30)</f>
        <v/>
      </c>
      <c r="P31" s="20">
        <f>SUM(P29:P30)</f>
        <v/>
      </c>
    </row>
    <row r="32">
      <c r="B32" t="inlineStr">
        <is>
          <t>(-) Despesas Operacionais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7">
        <f>SUM(D32:O32)</f>
        <v/>
      </c>
      <c r="R32" s="18">
        <f>IF(COUNT(D32:O32)=0,"",IF(ABS(P32-Gabarito!P32)&lt;0.5,"✔","✗"))</f>
        <v/>
      </c>
    </row>
    <row r="33">
      <c r="B33" t="inlineStr">
        <is>
          <t>(-) Depreciação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7">
        <f>SUM(D33:O33)</f>
        <v/>
      </c>
      <c r="R33" s="18">
        <f>IF(COUNT(D33:O33)=0,"",IF(ABS(P33-Gabarito!P33)&lt;0.5,"✔","✗"))</f>
        <v/>
      </c>
    </row>
    <row r="34">
      <c r="B34" s="19" t="inlineStr">
        <is>
          <t xml:space="preserve">     (=) EBIT</t>
        </is>
      </c>
      <c r="D34" s="20">
        <f>SUM(D31:D33)</f>
        <v/>
      </c>
      <c r="E34" s="20">
        <f>SUM(E31:E33)</f>
        <v/>
      </c>
      <c r="F34" s="20">
        <f>SUM(F31:F33)</f>
        <v/>
      </c>
      <c r="G34" s="20">
        <f>SUM(G31:G33)</f>
        <v/>
      </c>
      <c r="H34" s="20">
        <f>SUM(H31:H33)</f>
        <v/>
      </c>
      <c r="I34" s="20">
        <f>SUM(I31:I33)</f>
        <v/>
      </c>
      <c r="J34" s="20">
        <f>SUM(J31:J33)</f>
        <v/>
      </c>
      <c r="K34" s="20">
        <f>SUM(K31:K33)</f>
        <v/>
      </c>
      <c r="L34" s="20">
        <f>SUM(L31:L33)</f>
        <v/>
      </c>
      <c r="M34" s="20">
        <f>SUM(M31:M33)</f>
        <v/>
      </c>
      <c r="N34" s="20">
        <f>SUM(N31:N33)</f>
        <v/>
      </c>
      <c r="O34" s="20">
        <f>SUM(O31:O33)</f>
        <v/>
      </c>
      <c r="P34" s="20">
        <f>SUM(P31:P33)</f>
        <v/>
      </c>
    </row>
    <row r="35">
      <c r="B35" t="inlineStr">
        <is>
          <t>(+/-) Resultado Financeiro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7">
        <f>SUM(D35:O35)</f>
        <v/>
      </c>
      <c r="R35" s="18">
        <f>IF(COUNT(D35:O35)=0,"",IF(ABS(P35-Gabarito!P35)&lt;0.5,"✔","✗"))</f>
        <v/>
      </c>
    </row>
    <row r="36">
      <c r="B36" s="19" t="inlineStr">
        <is>
          <t xml:space="preserve">     (=) LAIR</t>
        </is>
      </c>
      <c r="D36" s="20">
        <f>SUM(D34:D35)</f>
        <v/>
      </c>
      <c r="E36" s="20">
        <f>SUM(E34:E35)</f>
        <v/>
      </c>
      <c r="F36" s="20">
        <f>SUM(F34:F35)</f>
        <v/>
      </c>
      <c r="G36" s="20">
        <f>SUM(G34:G35)</f>
        <v/>
      </c>
      <c r="H36" s="20">
        <f>SUM(H34:H35)</f>
        <v/>
      </c>
      <c r="I36" s="20">
        <f>SUM(I34:I35)</f>
        <v/>
      </c>
      <c r="J36" s="20">
        <f>SUM(J34:J35)</f>
        <v/>
      </c>
      <c r="K36" s="20">
        <f>SUM(K34:K35)</f>
        <v/>
      </c>
      <c r="L36" s="20">
        <f>SUM(L34:L35)</f>
        <v/>
      </c>
      <c r="M36" s="20">
        <f>SUM(M34:M35)</f>
        <v/>
      </c>
      <c r="N36" s="20">
        <f>SUM(N34:N35)</f>
        <v/>
      </c>
      <c r="O36" s="20">
        <f>SUM(O34:O35)</f>
        <v/>
      </c>
      <c r="P36" s="20">
        <f>SUM(P34:P35)</f>
        <v/>
      </c>
    </row>
    <row r="37">
      <c r="B37" t="inlineStr">
        <is>
          <t>(-) IR e CSLL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7">
        <f>SUM(D37:O37)</f>
        <v/>
      </c>
      <c r="R37" s="18">
        <f>IF(COUNT(D37:O37)=0,"",IF(ABS(P37-Gabarito!P37)&lt;0.5,"✔","✗"))</f>
        <v/>
      </c>
    </row>
    <row r="38">
      <c r="B38" s="19" t="inlineStr">
        <is>
          <t xml:space="preserve">     (=) Lucro Líquido</t>
        </is>
      </c>
      <c r="D38" s="20">
        <f>SUM(D36:D37)</f>
        <v/>
      </c>
      <c r="E38" s="20">
        <f>SUM(E36:E37)</f>
        <v/>
      </c>
      <c r="F38" s="20">
        <f>SUM(F36:F37)</f>
        <v/>
      </c>
      <c r="G38" s="20">
        <f>SUM(G36:G37)</f>
        <v/>
      </c>
      <c r="H38" s="20">
        <f>SUM(H36:H37)</f>
        <v/>
      </c>
      <c r="I38" s="20">
        <f>SUM(I36:I37)</f>
        <v/>
      </c>
      <c r="J38" s="20">
        <f>SUM(J36:J37)</f>
        <v/>
      </c>
      <c r="K38" s="20">
        <f>SUM(K36:K37)</f>
        <v/>
      </c>
      <c r="L38" s="20">
        <f>SUM(L36:L37)</f>
        <v/>
      </c>
      <c r="M38" s="20">
        <f>SUM(M36:M37)</f>
        <v/>
      </c>
      <c r="N38" s="20">
        <f>SUM(N36:N37)</f>
        <v/>
      </c>
      <c r="O38" s="20">
        <f>SUM(O36:O37)</f>
        <v/>
      </c>
      <c r="P38" s="20">
        <f>SUM(P36:P37)</f>
        <v/>
      </c>
    </row>
    <row r="40">
      <c r="B40" s="13" t="inlineStr">
        <is>
          <t>Demonstração dos Fluxos de Caixa</t>
        </is>
      </c>
      <c r="D40" s="3" t="n">
        <v>1</v>
      </c>
      <c r="E40" s="3" t="n">
        <v>2</v>
      </c>
      <c r="F40" s="3" t="n">
        <v>3</v>
      </c>
      <c r="G40" s="3" t="n">
        <v>4</v>
      </c>
      <c r="H40" s="3" t="n">
        <v>5</v>
      </c>
      <c r="I40" s="3" t="n">
        <v>6</v>
      </c>
      <c r="J40" s="3" t="n">
        <v>7</v>
      </c>
      <c r="K40" s="3" t="n">
        <v>8</v>
      </c>
      <c r="L40" s="3" t="n">
        <v>9</v>
      </c>
      <c r="M40" s="3" t="n">
        <v>10</v>
      </c>
      <c r="N40" s="3" t="n">
        <v>11</v>
      </c>
      <c r="O40" s="3" t="n">
        <v>12</v>
      </c>
      <c r="P40" s="13" t="inlineStr">
        <is>
          <t>Ano 2</t>
        </is>
      </c>
    </row>
    <row r="41">
      <c r="B41" s="19" t="inlineStr">
        <is>
          <t>OPERAÇÕES</t>
        </is>
      </c>
      <c r="D41" s="20">
        <f>SUM(D42:D46)</f>
        <v/>
      </c>
      <c r="E41" s="20">
        <f>SUM(E42:E46)</f>
        <v/>
      </c>
      <c r="F41" s="20">
        <f>SUM(F42:F46)</f>
        <v/>
      </c>
      <c r="G41" s="20">
        <f>SUM(G42:G46)</f>
        <v/>
      </c>
      <c r="H41" s="20">
        <f>SUM(H42:H46)</f>
        <v/>
      </c>
      <c r="I41" s="20">
        <f>SUM(I42:I46)</f>
        <v/>
      </c>
      <c r="J41" s="20">
        <f>SUM(J42:J46)</f>
        <v/>
      </c>
      <c r="K41" s="20">
        <f>SUM(K42:K46)</f>
        <v/>
      </c>
      <c r="L41" s="20">
        <f>SUM(L42:L46)</f>
        <v/>
      </c>
      <c r="M41" s="20">
        <f>SUM(M42:M46)</f>
        <v/>
      </c>
      <c r="N41" s="20">
        <f>SUM(N42:N46)</f>
        <v/>
      </c>
      <c r="O41" s="20">
        <f>SUM(O42:O46)</f>
        <v/>
      </c>
      <c r="P41" s="20">
        <f>SUM(P42:P46)</f>
        <v/>
      </c>
    </row>
    <row r="42">
      <c r="B42" t="inlineStr">
        <is>
          <t>Recebimentos de Clientes</t>
        </is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7">
        <f>SUM(D42:O42)</f>
        <v/>
      </c>
      <c r="R42" s="18">
        <f>IF(COUNT(D42:O42)=0,"",IF(ABS(P42-Gabarito!P42)&lt;0.5,"✔","✗"))</f>
        <v/>
      </c>
    </row>
    <row r="43">
      <c r="B43" t="inlineStr">
        <is>
          <t>Pagamentos a Fornecedores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7">
        <f>SUM(D43:O43)</f>
        <v/>
      </c>
      <c r="R43" s="18">
        <f>IF(COUNT(D43:O43)=0,"",IF(ABS(P43-Gabarito!P43)&lt;0.5,"✔","✗"))</f>
        <v/>
      </c>
    </row>
    <row r="44">
      <c r="B44" t="inlineStr">
        <is>
          <t>Pagamentos de Despesas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7">
        <f>SUM(D44:O44)</f>
        <v/>
      </c>
      <c r="R44" s="18">
        <f>IF(COUNT(D44:O44)=0,"",IF(ABS(P44-Gabarito!P44)&lt;0.5,"✔","✗"))</f>
        <v/>
      </c>
    </row>
    <row r="45">
      <c r="B45" t="inlineStr">
        <is>
          <t>Juros Pagos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7">
        <f>SUM(D45:O45)</f>
        <v/>
      </c>
      <c r="R45" s="18">
        <f>IF(COUNT(D45:O45)=0,"",IF(ABS(P45-Gabarito!P45)&lt;0.5,"✔","✗"))</f>
        <v/>
      </c>
    </row>
    <row r="46">
      <c r="B46" t="inlineStr">
        <is>
          <t>IR Pago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7">
        <f>SUM(D46:O46)</f>
        <v/>
      </c>
      <c r="R46" s="18">
        <f>IF(COUNT(D46:O46)=0,"",IF(ABS(P46-Gabarito!P46)&lt;0.5,"✔","✗"))</f>
        <v/>
      </c>
    </row>
    <row r="47">
      <c r="B47" s="19" t="inlineStr">
        <is>
          <t>INVESTIMENTOS</t>
        </is>
      </c>
      <c r="D47" s="20">
        <f>SUM(D48:D48)</f>
        <v/>
      </c>
      <c r="E47" s="20">
        <f>SUM(E48:E48)</f>
        <v/>
      </c>
      <c r="F47" s="20">
        <f>SUM(F48:F48)</f>
        <v/>
      </c>
      <c r="G47" s="20">
        <f>SUM(G48:G48)</f>
        <v/>
      </c>
      <c r="H47" s="20">
        <f>SUM(H48:H48)</f>
        <v/>
      </c>
      <c r="I47" s="20">
        <f>SUM(I48:I48)</f>
        <v/>
      </c>
      <c r="J47" s="20">
        <f>SUM(J48:J48)</f>
        <v/>
      </c>
      <c r="K47" s="20">
        <f>SUM(K48:K48)</f>
        <v/>
      </c>
      <c r="L47" s="20">
        <f>SUM(L48:L48)</f>
        <v/>
      </c>
      <c r="M47" s="20">
        <f>SUM(M48:M48)</f>
        <v/>
      </c>
      <c r="N47" s="20">
        <f>SUM(N48:N48)</f>
        <v/>
      </c>
      <c r="O47" s="20">
        <f>SUM(O48:O48)</f>
        <v/>
      </c>
      <c r="P47" s="20">
        <f>SUM(P48:P48)</f>
        <v/>
      </c>
    </row>
    <row r="48">
      <c r="B48" t="inlineStr">
        <is>
          <t>Aquisição de Imobilizado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7">
        <f>SUM(D48:O48)</f>
        <v/>
      </c>
      <c r="R48" s="18">
        <f>IF(COUNT(D48:O48)=0,"",IF(ABS(P48-Gabarito!P48)&lt;0.5,"✔","✗"))</f>
        <v/>
      </c>
    </row>
    <row r="49">
      <c r="B49" s="19" t="inlineStr">
        <is>
          <t>FINANCIAMENTOS</t>
        </is>
      </c>
      <c r="D49" s="20">
        <f>SUM(D50:D52)</f>
        <v/>
      </c>
      <c r="E49" s="20">
        <f>SUM(E50:E52)</f>
        <v/>
      </c>
      <c r="F49" s="20">
        <f>SUM(F50:F52)</f>
        <v/>
      </c>
      <c r="G49" s="20">
        <f>SUM(G50:G52)</f>
        <v/>
      </c>
      <c r="H49" s="20">
        <f>SUM(H50:H52)</f>
        <v/>
      </c>
      <c r="I49" s="20">
        <f>SUM(I50:I52)</f>
        <v/>
      </c>
      <c r="J49" s="20">
        <f>SUM(J50:J52)</f>
        <v/>
      </c>
      <c r="K49" s="20">
        <f>SUM(K50:K52)</f>
        <v/>
      </c>
      <c r="L49" s="20">
        <f>SUM(L50:L52)</f>
        <v/>
      </c>
      <c r="M49" s="20">
        <f>SUM(M50:M52)</f>
        <v/>
      </c>
      <c r="N49" s="20">
        <f>SUM(N50:N52)</f>
        <v/>
      </c>
      <c r="O49" s="20">
        <f>SUM(O50:O52)</f>
        <v/>
      </c>
      <c r="P49" s="20">
        <f>SUM(P50:P52)</f>
        <v/>
      </c>
    </row>
    <row r="50">
      <c r="B50" t="inlineStr">
        <is>
          <t>Captação de Empréstimos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7">
        <f>SUM(D50:O50)</f>
        <v/>
      </c>
      <c r="R50" s="18">
        <f>IF(COUNT(D50:O50)=0,"",IF(ABS(P50-Gabarito!P50)&lt;0.5,"✔","✗"))</f>
        <v/>
      </c>
    </row>
    <row r="51">
      <c r="B51" t="inlineStr">
        <is>
          <t>Amortização de Empréstimos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7">
        <f>SUM(D51:O51)</f>
        <v/>
      </c>
      <c r="R51" s="18">
        <f>IF(COUNT(D51:O51)=0,"",IF(ABS(P51-Gabarito!P51)&lt;0.5,"✔","✗"))</f>
        <v/>
      </c>
    </row>
    <row r="52">
      <c r="B52" t="inlineStr">
        <is>
          <t>Dividendos Pagos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7">
        <f>SUM(D52:O52)</f>
        <v/>
      </c>
      <c r="R52" s="18">
        <f>IF(COUNT(D52:O52)=0,"",IF(ABS(P52-Gabarito!P52)&lt;0.5,"✔","✗"))</f>
        <v/>
      </c>
    </row>
    <row r="53">
      <c r="B53" s="19" t="inlineStr">
        <is>
          <t>VARIAÇÃO NO CAIXA</t>
        </is>
      </c>
      <c r="D53" s="20">
        <f>D41+D47+D49</f>
        <v/>
      </c>
      <c r="E53" s="20">
        <f>E41+E47+E49</f>
        <v/>
      </c>
      <c r="F53" s="20">
        <f>F41+F47+F49</f>
        <v/>
      </c>
      <c r="G53" s="20">
        <f>G41+G47+G49</f>
        <v/>
      </c>
      <c r="H53" s="20">
        <f>H41+H47+H49</f>
        <v/>
      </c>
      <c r="I53" s="20">
        <f>I41+I47+I49</f>
        <v/>
      </c>
      <c r="J53" s="20">
        <f>J41+J47+J49</f>
        <v/>
      </c>
      <c r="K53" s="20">
        <f>K41+K47+K49</f>
        <v/>
      </c>
      <c r="L53" s="20">
        <f>L41+L47+L49</f>
        <v/>
      </c>
      <c r="M53" s="20">
        <f>M41+M47+M49</f>
        <v/>
      </c>
      <c r="N53" s="20">
        <f>N41+N47+N49</f>
        <v/>
      </c>
      <c r="O53" s="20">
        <f>O41+O47+O49</f>
        <v/>
      </c>
      <c r="P53" s="20">
        <f>P41+P47+P49</f>
        <v/>
      </c>
    </row>
    <row r="54">
      <c r="B54" t="inlineStr">
        <is>
          <t xml:space="preserve">    Saldo inicial de caixa</t>
        </is>
      </c>
      <c r="P54" s="16" t="n">
        <v>40</v>
      </c>
    </row>
    <row r="55">
      <c r="B55" s="19" t="inlineStr">
        <is>
          <t xml:space="preserve">    Saldo final de caixa</t>
        </is>
      </c>
      <c r="P55" s="17">
        <f>P54+P53</f>
        <v/>
      </c>
    </row>
    <row r="57">
      <c r="B57" s="21" t="inlineStr">
        <is>
          <t>Caixa final da DFC menos Caixa do BP (tem que dar zero)</t>
        </is>
      </c>
      <c r="P57" s="17">
        <f>P55-P6</f>
        <v/>
      </c>
      <c r="R57" s="19">
        <f>IF(P57=0,"✔ amarra","✗ não amarra")</f>
        <v/>
      </c>
    </row>
    <row r="59">
      <c r="B59" s="13" t="inlineStr">
        <is>
          <t>Indicadores (automáticos)</t>
        </is>
      </c>
    </row>
    <row r="60">
      <c r="B60" t="inlineStr">
        <is>
          <t>Margem bruta</t>
        </is>
      </c>
      <c r="P60" s="23">
        <f>IF(P29=0,"",P31/P29)</f>
        <v/>
      </c>
    </row>
    <row r="61">
      <c r="B61" t="inlineStr">
        <is>
          <t>Margem líquida</t>
        </is>
      </c>
      <c r="P61" s="23">
        <f>IF(P29=0,"",P38/P29)</f>
        <v/>
      </c>
    </row>
    <row r="62">
      <c r="B62" t="inlineStr">
        <is>
          <t>% financiado por capital próprio (PL / Ativo)</t>
        </is>
      </c>
      <c r="P62" s="23">
        <f>IF(P12=0,"",SUM(P22:P23)/P12)</f>
        <v/>
      </c>
    </row>
    <row r="63">
      <c r="B63" t="inlineStr">
        <is>
          <t>ROE (LL / PL final)</t>
        </is>
      </c>
      <c r="P63" s="23">
        <f>IF(SUM(P22:P23)=0,"",P38/SUM(P22:P23))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" customWidth="1" min="17" max="17"/>
    <col width="13" customWidth="1" min="18" max="18"/>
  </cols>
  <sheetData>
    <row r="1">
      <c r="B1" s="1" t="inlineStr">
        <is>
          <t>Cervejaria Mar Grosso S.A.  |  Ano 2  |  valores em R$ mil</t>
        </is>
      </c>
      <c r="D1" s="11" t="inlineStr">
        <is>
          <t>Transações, por Número e Descrição</t>
        </is>
      </c>
    </row>
    <row r="2" ht="42" customHeight="1">
      <c r="D2" s="12" t="inlineStr">
        <is>
          <t>Vendas do ano de 520, sendo 380 à vista e 140 a prazo; o cus</t>
        </is>
      </c>
      <c r="E2" s="12" t="inlineStr">
        <is>
          <t>Compras de estoque no ano: 330, integralmente a prazo</t>
        </is>
      </c>
      <c r="F2" s="12" t="inlineStr">
        <is>
          <t>Recebimento de 95 de clientes, referente a vendas de anos an</t>
        </is>
      </c>
      <c r="G2" s="12" t="inlineStr">
        <is>
          <t>Pagamento de 310 a fornecedores</t>
        </is>
      </c>
      <c r="H2" s="12" t="inlineStr">
        <is>
          <t>Cliente corporativo adianta 25 por uma encomenda que só será</t>
        </is>
      </c>
      <c r="I2" s="12" t="inlineStr">
        <is>
          <t>Despesas de vendas e administrativas de 90, pagas à vista</t>
        </is>
      </c>
      <c r="J2" s="12" t="inlineStr">
        <is>
          <t>Depreciação do imobilizado no ano: 30</t>
        </is>
      </c>
      <c r="K2" s="12" t="inlineStr">
        <is>
          <t>Captação de novo empréstimo bancário de 80</t>
        </is>
      </c>
      <c r="L2" s="12" t="inlineStr">
        <is>
          <t>Amortização de 50 do principal da dívida e pagamento de 10 d</t>
        </is>
      </c>
      <c r="M2" s="12" t="inlineStr">
        <is>
          <t xml:space="preserve">Compra de um novo forno por 120, pagando 45 à vista e 75 em </t>
        </is>
      </c>
      <c r="N2" s="12" t="inlineStr">
        <is>
          <t xml:space="preserve">IR e CSLL do ano: 27, sendo 20 pagos à vista e 7 a recolher </t>
        </is>
      </c>
      <c r="O2" s="12" t="inlineStr">
        <is>
          <t>Dividendos de 25 declarados e pagos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40</v>
      </c>
      <c r="D6" s="9" t="n">
        <v>380</v>
      </c>
      <c r="E6" s="9" t="n"/>
      <c r="F6" s="9" t="n">
        <v>95</v>
      </c>
      <c r="G6" s="9" t="n">
        <v>-310</v>
      </c>
      <c r="H6" s="9" t="n">
        <v>25</v>
      </c>
      <c r="I6" s="9" t="n">
        <v>-90</v>
      </c>
      <c r="J6" s="9" t="n"/>
      <c r="K6" s="9" t="n">
        <v>80</v>
      </c>
      <c r="L6" s="9" t="n">
        <v>-60</v>
      </c>
      <c r="M6" s="9" t="n">
        <v>-45</v>
      </c>
      <c r="N6" s="9" t="n">
        <v>-20</v>
      </c>
      <c r="O6" s="9" t="n">
        <v>-25</v>
      </c>
      <c r="P6" s="17">
        <f>C6+SUM(D6:O6)</f>
        <v/>
      </c>
    </row>
    <row r="7">
      <c r="B7" t="inlineStr">
        <is>
          <t>Contas a Receber</t>
        </is>
      </c>
      <c r="C7" s="16" t="n">
        <v>60</v>
      </c>
      <c r="D7" s="9" t="n">
        <v>140</v>
      </c>
      <c r="E7" s="9" t="n"/>
      <c r="F7" s="9" t="n">
        <v>-95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7">
        <f>C7+SUM(D7:O7)</f>
        <v/>
      </c>
    </row>
    <row r="8">
      <c r="B8" t="inlineStr">
        <is>
          <t>Estoques</t>
        </is>
      </c>
      <c r="C8" s="16" t="n">
        <v>90</v>
      </c>
      <c r="D8" s="9" t="n">
        <v>-300</v>
      </c>
      <c r="E8" s="9" t="n">
        <v>330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17">
        <f>C8+SUM(D8:O8)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>
        <v>300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>
        <v>120</v>
      </c>
      <c r="N10" s="9" t="n"/>
      <c r="O10" s="9" t="n"/>
      <c r="P10" s="17">
        <f>C10+SUM(D10:O10)</f>
        <v/>
      </c>
    </row>
    <row r="11">
      <c r="B11" t="inlineStr">
        <is>
          <t>(-) Depreciação Acumulada</t>
        </is>
      </c>
      <c r="C11" s="16" t="n">
        <v>-60</v>
      </c>
      <c r="D11" s="9" t="n"/>
      <c r="E11" s="9" t="n"/>
      <c r="F11" s="9" t="n"/>
      <c r="G11" s="9" t="n"/>
      <c r="H11" s="9" t="n"/>
      <c r="I11" s="9" t="n"/>
      <c r="J11" s="9" t="n">
        <v>-30</v>
      </c>
      <c r="K11" s="9" t="n"/>
      <c r="L11" s="9" t="n"/>
      <c r="M11" s="9" t="n"/>
      <c r="N11" s="9" t="n"/>
      <c r="O11" s="9" t="n"/>
      <c r="P11" s="17">
        <f>C11+SUM(D11:O11)</f>
        <v/>
      </c>
    </row>
    <row r="12">
      <c r="B12" s="19" t="inlineStr">
        <is>
          <t xml:space="preserve">  Total do Ativo</t>
        </is>
      </c>
      <c r="C12" s="20">
        <f>SUM(C6:C11)</f>
        <v/>
      </c>
      <c r="D12" s="20">
        <f>SUM(D6:D11)</f>
        <v/>
      </c>
      <c r="E12" s="20">
        <f>SUM(E6:E11)</f>
        <v/>
      </c>
      <c r="F12" s="20">
        <f>SUM(F6:F11)</f>
        <v/>
      </c>
      <c r="G12" s="20">
        <f>SUM(G6:G11)</f>
        <v/>
      </c>
      <c r="H12" s="20">
        <f>SUM(H6:H11)</f>
        <v/>
      </c>
      <c r="I12" s="20">
        <f>SUM(I6:I11)</f>
        <v/>
      </c>
      <c r="J12" s="20">
        <f>SUM(J6:J11)</f>
        <v/>
      </c>
      <c r="K12" s="20">
        <f>SUM(K6:K11)</f>
        <v/>
      </c>
      <c r="L12" s="20">
        <f>SUM(L6:L11)</f>
        <v/>
      </c>
      <c r="M12" s="20">
        <f>SUM(M6:M11)</f>
        <v/>
      </c>
      <c r="N12" s="20">
        <f>SUM(N6:N11)</f>
        <v/>
      </c>
      <c r="O12" s="20">
        <f>SUM(O6:O11)</f>
        <v/>
      </c>
      <c r="P12" s="20">
        <f>SUM(P6:P11)</f>
        <v/>
      </c>
    </row>
    <row r="13">
      <c r="B13" s="14" t="inlineStr">
        <is>
          <t>PASSIVO E PATRIM. LÍQUIDO</t>
        </is>
      </c>
    </row>
    <row r="14">
      <c r="B14" s="15" t="inlineStr">
        <is>
          <t>Passivo Circulante:</t>
        </is>
      </c>
    </row>
    <row r="15">
      <c r="B15" t="inlineStr">
        <is>
          <t>Fornecedores</t>
        </is>
      </c>
      <c r="C15" s="16" t="n">
        <v>70</v>
      </c>
      <c r="D15" s="9" t="n"/>
      <c r="E15" s="9" t="n">
        <v>330</v>
      </c>
      <c r="F15" s="9" t="n"/>
      <c r="G15" s="9" t="n">
        <v>-310</v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17">
        <f>C15+SUM(D15:O15)</f>
        <v/>
      </c>
    </row>
    <row r="16">
      <c r="B16" t="inlineStr">
        <is>
          <t>Adiantamentos de Clientes</t>
        </is>
      </c>
      <c r="C16" s="16" t="n"/>
      <c r="D16" s="9" t="n"/>
      <c r="E16" s="9" t="n"/>
      <c r="F16" s="9" t="n"/>
      <c r="G16" s="9" t="n"/>
      <c r="H16" s="9" t="n">
        <v>25</v>
      </c>
      <c r="I16" s="9" t="n"/>
      <c r="J16" s="9" t="n"/>
      <c r="K16" s="9" t="n"/>
      <c r="L16" s="9" t="n"/>
      <c r="M16" s="9" t="n"/>
      <c r="N16" s="9" t="n"/>
      <c r="O16" s="9" t="n"/>
      <c r="P16" s="17">
        <f>C16+SUM(D16:O16)</f>
        <v/>
      </c>
    </row>
    <row r="17">
      <c r="B17" t="inlineStr">
        <is>
          <t>IR a Pagar</t>
        </is>
      </c>
      <c r="C17" s="16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7</v>
      </c>
      <c r="O17" s="9" t="n"/>
      <c r="P17" s="17">
        <f>C17+SUM(D17:O17)</f>
        <v/>
      </c>
    </row>
    <row r="18">
      <c r="B18" t="inlineStr">
        <is>
          <t>Empréstimos</t>
        </is>
      </c>
      <c r="C18" s="16" t="n">
        <v>100</v>
      </c>
      <c r="D18" s="9" t="n"/>
      <c r="E18" s="9" t="n"/>
      <c r="F18" s="9" t="n"/>
      <c r="G18" s="9" t="n"/>
      <c r="H18" s="9" t="n"/>
      <c r="I18" s="9" t="n"/>
      <c r="J18" s="9" t="n"/>
      <c r="K18" s="9" t="n">
        <v>80</v>
      </c>
      <c r="L18" s="9" t="n">
        <v>-50</v>
      </c>
      <c r="M18" s="9" t="n"/>
      <c r="N18" s="9" t="n"/>
      <c r="O18" s="9" t="n"/>
      <c r="P18" s="17">
        <f>C18+SUM(D18:O18)</f>
        <v/>
      </c>
    </row>
    <row r="19">
      <c r="B19" s="15" t="inlineStr">
        <is>
          <t>Passivo Não Circulante:</t>
        </is>
      </c>
    </row>
    <row r="20">
      <c r="B20" t="inlineStr">
        <is>
          <t>Financiamento a Pagar (LP)</t>
        </is>
      </c>
      <c r="C20" s="16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>
        <v>75</v>
      </c>
      <c r="N20" s="9" t="n"/>
      <c r="O20" s="9" t="n"/>
      <c r="P20" s="17">
        <f>C20+SUM(D20:O20)</f>
        <v/>
      </c>
    </row>
    <row r="21">
      <c r="B21" s="15" t="inlineStr">
        <is>
          <t>Patrimônio Líquido:</t>
        </is>
      </c>
    </row>
    <row r="22">
      <c r="B22" t="inlineStr">
        <is>
          <t>Capital Social</t>
        </is>
      </c>
      <c r="C22" s="16" t="n">
        <v>200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7">
        <f>C22+SUM(D22:O22)</f>
        <v/>
      </c>
    </row>
    <row r="23">
      <c r="B23" t="inlineStr">
        <is>
          <t>Lucros Acumulados</t>
        </is>
      </c>
      <c r="C23" s="16" t="n">
        <v>60</v>
      </c>
      <c r="D23" s="9" t="n">
        <v>220</v>
      </c>
      <c r="E23" s="9" t="n"/>
      <c r="F23" s="9" t="n"/>
      <c r="G23" s="9" t="n"/>
      <c r="H23" s="9" t="n"/>
      <c r="I23" s="9" t="n">
        <v>-90</v>
      </c>
      <c r="J23" s="9" t="n">
        <v>-30</v>
      </c>
      <c r="K23" s="9" t="n"/>
      <c r="L23" s="9" t="n">
        <v>-10</v>
      </c>
      <c r="M23" s="9" t="n"/>
      <c r="N23" s="9" t="n">
        <v>-27</v>
      </c>
      <c r="O23" s="9" t="n">
        <v>-25</v>
      </c>
      <c r="P23" s="17">
        <f>C23+SUM(D23:O23)</f>
        <v/>
      </c>
    </row>
    <row r="24">
      <c r="B24" s="19" t="inlineStr">
        <is>
          <t>Total Passivo e Patrim. Líquido</t>
        </is>
      </c>
      <c r="C24" s="20">
        <f>SUM(C14:C23)</f>
        <v/>
      </c>
      <c r="D24" s="20">
        <f>SUM(D14:D23)</f>
        <v/>
      </c>
      <c r="E24" s="20">
        <f>SUM(E14:E23)</f>
        <v/>
      </c>
      <c r="F24" s="20">
        <f>SUM(F14:F23)</f>
        <v/>
      </c>
      <c r="G24" s="20">
        <f>SUM(G14:G23)</f>
        <v/>
      </c>
      <c r="H24" s="20">
        <f>SUM(H14:H23)</f>
        <v/>
      </c>
      <c r="I24" s="20">
        <f>SUM(I14:I23)</f>
        <v/>
      </c>
      <c r="J24" s="20">
        <f>SUM(J14:J23)</f>
        <v/>
      </c>
      <c r="K24" s="20">
        <f>SUM(K14:K23)</f>
        <v/>
      </c>
      <c r="L24" s="20">
        <f>SUM(L14:L23)</f>
        <v/>
      </c>
      <c r="M24" s="20">
        <f>SUM(M14:M23)</f>
        <v/>
      </c>
      <c r="N24" s="20">
        <f>SUM(N14:N23)</f>
        <v/>
      </c>
      <c r="O24" s="20">
        <f>SUM(O14:O23)</f>
        <v/>
      </c>
      <c r="P24" s="20">
        <f>SUM(P14:P23)</f>
        <v/>
      </c>
    </row>
    <row r="26">
      <c r="B26" s="21" t="inlineStr">
        <is>
          <t>Diferença, se houver (tem que dar zero)</t>
        </is>
      </c>
      <c r="C26" s="17">
        <f>C12-C24</f>
        <v/>
      </c>
      <c r="D26" s="17">
        <f>D12-D24</f>
        <v/>
      </c>
      <c r="E26" s="17">
        <f>E12-E24</f>
        <v/>
      </c>
      <c r="F26" s="17">
        <f>F12-F24</f>
        <v/>
      </c>
      <c r="G26" s="17">
        <f>G12-G24</f>
        <v/>
      </c>
      <c r="H26" s="17">
        <f>H12-H24</f>
        <v/>
      </c>
      <c r="I26" s="17">
        <f>I12-I24</f>
        <v/>
      </c>
      <c r="J26" s="17">
        <f>J12-J24</f>
        <v/>
      </c>
      <c r="K26" s="17">
        <f>K12-K24</f>
        <v/>
      </c>
      <c r="L26" s="17">
        <f>L12-L24</f>
        <v/>
      </c>
      <c r="M26" s="17">
        <f>M12-M24</f>
        <v/>
      </c>
      <c r="N26" s="17">
        <f>N12-N24</f>
        <v/>
      </c>
      <c r="O26" s="17">
        <f>O12-O24</f>
        <v/>
      </c>
      <c r="P26" s="17">
        <f>P12-P24</f>
        <v/>
      </c>
    </row>
    <row r="28">
      <c r="B28" s="13" t="inlineStr">
        <is>
          <t>Demonstração do Resultado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3" t="n">
        <v>7</v>
      </c>
      <c r="K28" s="3" t="n">
        <v>8</v>
      </c>
      <c r="L28" s="3" t="n">
        <v>9</v>
      </c>
      <c r="M28" s="3" t="n">
        <v>10</v>
      </c>
      <c r="N28" s="3" t="n">
        <v>11</v>
      </c>
      <c r="O28" s="3" t="n">
        <v>12</v>
      </c>
      <c r="P28" s="13" t="inlineStr">
        <is>
          <t>Ano 2</t>
        </is>
      </c>
      <c r="R28" s="22" t="inlineStr">
        <is>
          <t>Check</t>
        </is>
      </c>
    </row>
    <row r="29">
      <c r="B29" t="inlineStr">
        <is>
          <t>Receita Líquida de Vendas</t>
        </is>
      </c>
      <c r="D29" s="9" t="n">
        <v>520</v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7">
        <f>SUM(D29:O29)</f>
        <v/>
      </c>
    </row>
    <row r="30">
      <c r="B30" t="inlineStr">
        <is>
          <t>(-) Custo das Mercadorias Vendidas</t>
        </is>
      </c>
      <c r="D30" s="9" t="n">
        <v>-300</v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7">
        <f>SUM(D30:O30)</f>
        <v/>
      </c>
    </row>
    <row r="31">
      <c r="B31" s="19" t="inlineStr">
        <is>
          <t xml:space="preserve">     (=) Lucro Bruto</t>
        </is>
      </c>
      <c r="D31" s="20">
        <f>SUM(D29:D30)</f>
        <v/>
      </c>
      <c r="E31" s="20">
        <f>SUM(E29:E30)</f>
        <v/>
      </c>
      <c r="F31" s="20">
        <f>SUM(F29:F30)</f>
        <v/>
      </c>
      <c r="G31" s="20">
        <f>SUM(G29:G30)</f>
        <v/>
      </c>
      <c r="H31" s="20">
        <f>SUM(H29:H30)</f>
        <v/>
      </c>
      <c r="I31" s="20">
        <f>SUM(I29:I30)</f>
        <v/>
      </c>
      <c r="J31" s="20">
        <f>SUM(J29:J30)</f>
        <v/>
      </c>
      <c r="K31" s="20">
        <f>SUM(K29:K30)</f>
        <v/>
      </c>
      <c r="L31" s="20">
        <f>SUM(L29:L30)</f>
        <v/>
      </c>
      <c r="M31" s="20">
        <f>SUM(M29:M30)</f>
        <v/>
      </c>
      <c r="N31" s="20">
        <f>SUM(N29:N30)</f>
        <v/>
      </c>
      <c r="O31" s="20">
        <f>SUM(O29:O30)</f>
        <v/>
      </c>
      <c r="P31" s="20">
        <f>SUM(P29:P30)</f>
        <v/>
      </c>
    </row>
    <row r="32">
      <c r="B32" t="inlineStr">
        <is>
          <t>(-) Despesas Operacionais</t>
        </is>
      </c>
      <c r="D32" s="9" t="n"/>
      <c r="E32" s="9" t="n"/>
      <c r="F32" s="9" t="n"/>
      <c r="G32" s="9" t="n"/>
      <c r="H32" s="9" t="n"/>
      <c r="I32" s="9" t="n">
        <v>-90</v>
      </c>
      <c r="J32" s="9" t="n"/>
      <c r="K32" s="9" t="n"/>
      <c r="L32" s="9" t="n"/>
      <c r="M32" s="9" t="n"/>
      <c r="N32" s="9" t="n"/>
      <c r="O32" s="9" t="n"/>
      <c r="P32" s="17">
        <f>SUM(D32:O32)</f>
        <v/>
      </c>
    </row>
    <row r="33">
      <c r="B33" t="inlineStr">
        <is>
          <t>(-) Depreciação</t>
        </is>
      </c>
      <c r="D33" s="9" t="n"/>
      <c r="E33" s="9" t="n"/>
      <c r="F33" s="9" t="n"/>
      <c r="G33" s="9" t="n"/>
      <c r="H33" s="9" t="n"/>
      <c r="I33" s="9" t="n"/>
      <c r="J33" s="9" t="n">
        <v>-30</v>
      </c>
      <c r="K33" s="9" t="n"/>
      <c r="L33" s="9" t="n"/>
      <c r="M33" s="9" t="n"/>
      <c r="N33" s="9" t="n"/>
      <c r="O33" s="9" t="n"/>
      <c r="P33" s="17">
        <f>SUM(D33:O33)</f>
        <v/>
      </c>
    </row>
    <row r="34">
      <c r="B34" s="19" t="inlineStr">
        <is>
          <t xml:space="preserve">     (=) EBIT</t>
        </is>
      </c>
      <c r="D34" s="20">
        <f>SUM(D31:D33)</f>
        <v/>
      </c>
      <c r="E34" s="20">
        <f>SUM(E31:E33)</f>
        <v/>
      </c>
      <c r="F34" s="20">
        <f>SUM(F31:F33)</f>
        <v/>
      </c>
      <c r="G34" s="20">
        <f>SUM(G31:G33)</f>
        <v/>
      </c>
      <c r="H34" s="20">
        <f>SUM(H31:H33)</f>
        <v/>
      </c>
      <c r="I34" s="20">
        <f>SUM(I31:I33)</f>
        <v/>
      </c>
      <c r="J34" s="20">
        <f>SUM(J31:J33)</f>
        <v/>
      </c>
      <c r="K34" s="20">
        <f>SUM(K31:K33)</f>
        <v/>
      </c>
      <c r="L34" s="20">
        <f>SUM(L31:L33)</f>
        <v/>
      </c>
      <c r="M34" s="20">
        <f>SUM(M31:M33)</f>
        <v/>
      </c>
      <c r="N34" s="20">
        <f>SUM(N31:N33)</f>
        <v/>
      </c>
      <c r="O34" s="20">
        <f>SUM(O31:O33)</f>
        <v/>
      </c>
      <c r="P34" s="20">
        <f>SUM(P31:P33)</f>
        <v/>
      </c>
    </row>
    <row r="35">
      <c r="B35" t="inlineStr">
        <is>
          <t>(+/-) Resultado Financeiro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>
        <v>-10</v>
      </c>
      <c r="M35" s="9" t="n"/>
      <c r="N35" s="9" t="n"/>
      <c r="O35" s="9" t="n"/>
      <c r="P35" s="17">
        <f>SUM(D35:O35)</f>
        <v/>
      </c>
    </row>
    <row r="36">
      <c r="B36" s="19" t="inlineStr">
        <is>
          <t xml:space="preserve">     (=) LAIR</t>
        </is>
      </c>
      <c r="D36" s="20">
        <f>SUM(D34:D35)</f>
        <v/>
      </c>
      <c r="E36" s="20">
        <f>SUM(E34:E35)</f>
        <v/>
      </c>
      <c r="F36" s="20">
        <f>SUM(F34:F35)</f>
        <v/>
      </c>
      <c r="G36" s="20">
        <f>SUM(G34:G35)</f>
        <v/>
      </c>
      <c r="H36" s="20">
        <f>SUM(H34:H35)</f>
        <v/>
      </c>
      <c r="I36" s="20">
        <f>SUM(I34:I35)</f>
        <v/>
      </c>
      <c r="J36" s="20">
        <f>SUM(J34:J35)</f>
        <v/>
      </c>
      <c r="K36" s="20">
        <f>SUM(K34:K35)</f>
        <v/>
      </c>
      <c r="L36" s="20">
        <f>SUM(L34:L35)</f>
        <v/>
      </c>
      <c r="M36" s="20">
        <f>SUM(M34:M35)</f>
        <v/>
      </c>
      <c r="N36" s="20">
        <f>SUM(N34:N35)</f>
        <v/>
      </c>
      <c r="O36" s="20">
        <f>SUM(O34:O35)</f>
        <v/>
      </c>
      <c r="P36" s="20">
        <f>SUM(P34:P35)</f>
        <v/>
      </c>
    </row>
    <row r="37">
      <c r="B37" t="inlineStr">
        <is>
          <t>(-) IR e CSLL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>
        <v>-27</v>
      </c>
      <c r="O37" s="9" t="n"/>
      <c r="P37" s="17">
        <f>SUM(D37:O37)</f>
        <v/>
      </c>
    </row>
    <row r="38">
      <c r="B38" s="19" t="inlineStr">
        <is>
          <t xml:space="preserve">     (=) Lucro Líquido</t>
        </is>
      </c>
      <c r="D38" s="20">
        <f>SUM(D36:D37)</f>
        <v/>
      </c>
      <c r="E38" s="20">
        <f>SUM(E36:E37)</f>
        <v/>
      </c>
      <c r="F38" s="20">
        <f>SUM(F36:F37)</f>
        <v/>
      </c>
      <c r="G38" s="20">
        <f>SUM(G36:G37)</f>
        <v/>
      </c>
      <c r="H38" s="20">
        <f>SUM(H36:H37)</f>
        <v/>
      </c>
      <c r="I38" s="20">
        <f>SUM(I36:I37)</f>
        <v/>
      </c>
      <c r="J38" s="20">
        <f>SUM(J36:J37)</f>
        <v/>
      </c>
      <c r="K38" s="20">
        <f>SUM(K36:K37)</f>
        <v/>
      </c>
      <c r="L38" s="20">
        <f>SUM(L36:L37)</f>
        <v/>
      </c>
      <c r="M38" s="20">
        <f>SUM(M36:M37)</f>
        <v/>
      </c>
      <c r="N38" s="20">
        <f>SUM(N36:N37)</f>
        <v/>
      </c>
      <c r="O38" s="20">
        <f>SUM(O36:O37)</f>
        <v/>
      </c>
      <c r="P38" s="20">
        <f>SUM(P36:P37)</f>
        <v/>
      </c>
    </row>
    <row r="40">
      <c r="B40" s="13" t="inlineStr">
        <is>
          <t>Demonstração dos Fluxos de Caixa</t>
        </is>
      </c>
      <c r="D40" s="3" t="n">
        <v>1</v>
      </c>
      <c r="E40" s="3" t="n">
        <v>2</v>
      </c>
      <c r="F40" s="3" t="n">
        <v>3</v>
      </c>
      <c r="G40" s="3" t="n">
        <v>4</v>
      </c>
      <c r="H40" s="3" t="n">
        <v>5</v>
      </c>
      <c r="I40" s="3" t="n">
        <v>6</v>
      </c>
      <c r="J40" s="3" t="n">
        <v>7</v>
      </c>
      <c r="K40" s="3" t="n">
        <v>8</v>
      </c>
      <c r="L40" s="3" t="n">
        <v>9</v>
      </c>
      <c r="M40" s="3" t="n">
        <v>10</v>
      </c>
      <c r="N40" s="3" t="n">
        <v>11</v>
      </c>
      <c r="O40" s="3" t="n">
        <v>12</v>
      </c>
      <c r="P40" s="13" t="inlineStr">
        <is>
          <t>Ano 2</t>
        </is>
      </c>
    </row>
    <row r="41">
      <c r="B41" s="19" t="inlineStr">
        <is>
          <t>OPERAÇÕES</t>
        </is>
      </c>
      <c r="D41" s="20">
        <f>SUM(D42:D46)</f>
        <v/>
      </c>
      <c r="E41" s="20">
        <f>SUM(E42:E46)</f>
        <v/>
      </c>
      <c r="F41" s="20">
        <f>SUM(F42:F46)</f>
        <v/>
      </c>
      <c r="G41" s="20">
        <f>SUM(G42:G46)</f>
        <v/>
      </c>
      <c r="H41" s="20">
        <f>SUM(H42:H46)</f>
        <v/>
      </c>
      <c r="I41" s="20">
        <f>SUM(I42:I46)</f>
        <v/>
      </c>
      <c r="J41" s="20">
        <f>SUM(J42:J46)</f>
        <v/>
      </c>
      <c r="K41" s="20">
        <f>SUM(K42:K46)</f>
        <v/>
      </c>
      <c r="L41" s="20">
        <f>SUM(L42:L46)</f>
        <v/>
      </c>
      <c r="M41" s="20">
        <f>SUM(M42:M46)</f>
        <v/>
      </c>
      <c r="N41" s="20">
        <f>SUM(N42:N46)</f>
        <v/>
      </c>
      <c r="O41" s="20">
        <f>SUM(O42:O46)</f>
        <v/>
      </c>
      <c r="P41" s="20">
        <f>SUM(P42:P46)</f>
        <v/>
      </c>
    </row>
    <row r="42">
      <c r="B42" t="inlineStr">
        <is>
          <t>Recebimentos de Clientes</t>
        </is>
      </c>
      <c r="D42" s="9" t="n">
        <v>380</v>
      </c>
      <c r="E42" s="9" t="n"/>
      <c r="F42" s="9" t="n">
        <v>95</v>
      </c>
      <c r="G42" s="9" t="n"/>
      <c r="H42" s="9" t="n">
        <v>25</v>
      </c>
      <c r="I42" s="9" t="n"/>
      <c r="J42" s="9" t="n"/>
      <c r="K42" s="9" t="n"/>
      <c r="L42" s="9" t="n"/>
      <c r="M42" s="9" t="n"/>
      <c r="N42" s="9" t="n"/>
      <c r="O42" s="9" t="n"/>
      <c r="P42" s="17">
        <f>SUM(D42:O42)</f>
        <v/>
      </c>
    </row>
    <row r="43">
      <c r="B43" t="inlineStr">
        <is>
          <t>Pagamentos a Fornecedores</t>
        </is>
      </c>
      <c r="D43" s="9" t="n"/>
      <c r="E43" s="9" t="n"/>
      <c r="F43" s="9" t="n"/>
      <c r="G43" s="9" t="n">
        <v>-310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17">
        <f>SUM(D43:O43)</f>
        <v/>
      </c>
    </row>
    <row r="44">
      <c r="B44" t="inlineStr">
        <is>
          <t>Pagamentos de Despesas</t>
        </is>
      </c>
      <c r="D44" s="9" t="n"/>
      <c r="E44" s="9" t="n"/>
      <c r="F44" s="9" t="n"/>
      <c r="G44" s="9" t="n"/>
      <c r="H44" s="9" t="n"/>
      <c r="I44" s="9" t="n">
        <v>-90</v>
      </c>
      <c r="J44" s="9" t="n"/>
      <c r="K44" s="9" t="n"/>
      <c r="L44" s="9" t="n"/>
      <c r="M44" s="9" t="n"/>
      <c r="N44" s="9" t="n"/>
      <c r="O44" s="9" t="n"/>
      <c r="P44" s="17">
        <f>SUM(D44:O44)</f>
        <v/>
      </c>
    </row>
    <row r="45">
      <c r="B45" t="inlineStr">
        <is>
          <t>Juros Pagos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>
        <v>-10</v>
      </c>
      <c r="M45" s="9" t="n"/>
      <c r="N45" s="9" t="n"/>
      <c r="O45" s="9" t="n"/>
      <c r="P45" s="17">
        <f>SUM(D45:O45)</f>
        <v/>
      </c>
    </row>
    <row r="46">
      <c r="B46" t="inlineStr">
        <is>
          <t>IR Pago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>
        <v>-20</v>
      </c>
      <c r="O46" s="9" t="n"/>
      <c r="P46" s="17">
        <f>SUM(D46:O46)</f>
        <v/>
      </c>
    </row>
    <row r="47">
      <c r="B47" s="19" t="inlineStr">
        <is>
          <t>INVESTIMENTOS</t>
        </is>
      </c>
      <c r="D47" s="20">
        <f>SUM(D48:D48)</f>
        <v/>
      </c>
      <c r="E47" s="20">
        <f>SUM(E48:E48)</f>
        <v/>
      </c>
      <c r="F47" s="20">
        <f>SUM(F48:F48)</f>
        <v/>
      </c>
      <c r="G47" s="20">
        <f>SUM(G48:G48)</f>
        <v/>
      </c>
      <c r="H47" s="20">
        <f>SUM(H48:H48)</f>
        <v/>
      </c>
      <c r="I47" s="20">
        <f>SUM(I48:I48)</f>
        <v/>
      </c>
      <c r="J47" s="20">
        <f>SUM(J48:J48)</f>
        <v/>
      </c>
      <c r="K47" s="20">
        <f>SUM(K48:K48)</f>
        <v/>
      </c>
      <c r="L47" s="20">
        <f>SUM(L48:L48)</f>
        <v/>
      </c>
      <c r="M47" s="20">
        <f>SUM(M48:M48)</f>
        <v/>
      </c>
      <c r="N47" s="20">
        <f>SUM(N48:N48)</f>
        <v/>
      </c>
      <c r="O47" s="20">
        <f>SUM(O48:O48)</f>
        <v/>
      </c>
      <c r="P47" s="20">
        <f>SUM(P48:P48)</f>
        <v/>
      </c>
    </row>
    <row r="48">
      <c r="B48" t="inlineStr">
        <is>
          <t>Aquisição de Imobilizado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>
        <v>-45</v>
      </c>
      <c r="N48" s="9" t="n"/>
      <c r="O48" s="9" t="n"/>
      <c r="P48" s="17">
        <f>SUM(D48:O48)</f>
        <v/>
      </c>
    </row>
    <row r="49">
      <c r="B49" s="19" t="inlineStr">
        <is>
          <t>FINANCIAMENTOS</t>
        </is>
      </c>
      <c r="D49" s="20">
        <f>SUM(D50:D52)</f>
        <v/>
      </c>
      <c r="E49" s="20">
        <f>SUM(E50:E52)</f>
        <v/>
      </c>
      <c r="F49" s="20">
        <f>SUM(F50:F52)</f>
        <v/>
      </c>
      <c r="G49" s="20">
        <f>SUM(G50:G52)</f>
        <v/>
      </c>
      <c r="H49" s="20">
        <f>SUM(H50:H52)</f>
        <v/>
      </c>
      <c r="I49" s="20">
        <f>SUM(I50:I52)</f>
        <v/>
      </c>
      <c r="J49" s="20">
        <f>SUM(J50:J52)</f>
        <v/>
      </c>
      <c r="K49" s="20">
        <f>SUM(K50:K52)</f>
        <v/>
      </c>
      <c r="L49" s="20">
        <f>SUM(L50:L52)</f>
        <v/>
      </c>
      <c r="M49" s="20">
        <f>SUM(M50:M52)</f>
        <v/>
      </c>
      <c r="N49" s="20">
        <f>SUM(N50:N52)</f>
        <v/>
      </c>
      <c r="O49" s="20">
        <f>SUM(O50:O52)</f>
        <v/>
      </c>
      <c r="P49" s="20">
        <f>SUM(P50:P52)</f>
        <v/>
      </c>
    </row>
    <row r="50">
      <c r="B50" t="inlineStr">
        <is>
          <t>Captação de Empréstimos</t>
        </is>
      </c>
      <c r="D50" s="9" t="n"/>
      <c r="E50" s="9" t="n"/>
      <c r="F50" s="9" t="n"/>
      <c r="G50" s="9" t="n"/>
      <c r="H50" s="9" t="n"/>
      <c r="I50" s="9" t="n"/>
      <c r="J50" s="9" t="n"/>
      <c r="K50" s="9" t="n">
        <v>80</v>
      </c>
      <c r="L50" s="9" t="n"/>
      <c r="M50" s="9" t="n"/>
      <c r="N50" s="9" t="n"/>
      <c r="O50" s="9" t="n"/>
      <c r="P50" s="17">
        <f>SUM(D50:O50)</f>
        <v/>
      </c>
    </row>
    <row r="51">
      <c r="B51" t="inlineStr">
        <is>
          <t>Amortização de Empréstimos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>
        <v>-50</v>
      </c>
      <c r="M51" s="9" t="n"/>
      <c r="N51" s="9" t="n"/>
      <c r="O51" s="9" t="n"/>
      <c r="P51" s="17">
        <f>SUM(D51:O51)</f>
        <v/>
      </c>
    </row>
    <row r="52">
      <c r="B52" t="inlineStr">
        <is>
          <t>Dividendos Pagos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>
        <v>-25</v>
      </c>
      <c r="P52" s="17">
        <f>SUM(D52:O52)</f>
        <v/>
      </c>
    </row>
    <row r="53">
      <c r="B53" s="19" t="inlineStr">
        <is>
          <t>VARIAÇÃO NO CAIXA</t>
        </is>
      </c>
      <c r="D53" s="20">
        <f>D41+D47+D49</f>
        <v/>
      </c>
      <c r="E53" s="20">
        <f>E41+E47+E49</f>
        <v/>
      </c>
      <c r="F53" s="20">
        <f>F41+F47+F49</f>
        <v/>
      </c>
      <c r="G53" s="20">
        <f>G41+G47+G49</f>
        <v/>
      </c>
      <c r="H53" s="20">
        <f>H41+H47+H49</f>
        <v/>
      </c>
      <c r="I53" s="20">
        <f>I41+I47+I49</f>
        <v/>
      </c>
      <c r="J53" s="20">
        <f>J41+J47+J49</f>
        <v/>
      </c>
      <c r="K53" s="20">
        <f>K41+K47+K49</f>
        <v/>
      </c>
      <c r="L53" s="20">
        <f>L41+L47+L49</f>
        <v/>
      </c>
      <c r="M53" s="20">
        <f>M41+M47+M49</f>
        <v/>
      </c>
      <c r="N53" s="20">
        <f>N41+N47+N49</f>
        <v/>
      </c>
      <c r="O53" s="20">
        <f>O41+O47+O49</f>
        <v/>
      </c>
      <c r="P53" s="20">
        <f>P41+P47+P49</f>
        <v/>
      </c>
    </row>
    <row r="54">
      <c r="B54" t="inlineStr">
        <is>
          <t xml:space="preserve">    Saldo inicial de caixa</t>
        </is>
      </c>
      <c r="P54" s="16" t="n">
        <v>40</v>
      </c>
    </row>
    <row r="55">
      <c r="B55" s="19" t="inlineStr">
        <is>
          <t xml:space="preserve">    Saldo final de caixa</t>
        </is>
      </c>
      <c r="P55" s="17">
        <f>P54+P53</f>
        <v/>
      </c>
    </row>
    <row r="57">
      <c r="B57" s="21" t="inlineStr">
        <is>
          <t>Caixa final da DFC menos Caixa do BP (tem que dar zero)</t>
        </is>
      </c>
      <c r="P57" s="17">
        <f>P55-P6</f>
        <v/>
      </c>
    </row>
    <row r="59">
      <c r="B59" s="13" t="inlineStr">
        <is>
          <t>Indicadores (automáticos)</t>
        </is>
      </c>
    </row>
    <row r="60">
      <c r="B60" t="inlineStr">
        <is>
          <t>Margem bruta</t>
        </is>
      </c>
      <c r="P60" s="23">
        <f>IF(P29=0,"",P31/P29)</f>
        <v/>
      </c>
    </row>
    <row r="61">
      <c r="B61" t="inlineStr">
        <is>
          <t>Margem líquida</t>
        </is>
      </c>
      <c r="P61" s="23">
        <f>IF(P29=0,"",P38/P29)</f>
        <v/>
      </c>
    </row>
    <row r="62">
      <c r="B62" t="inlineStr">
        <is>
          <t>% financiado por capital próprio (PL / Ativo)</t>
        </is>
      </c>
      <c r="P62" s="23">
        <f>IF(P12=0,"",SUM(P22:P23)/P12)</f>
        <v/>
      </c>
    </row>
    <row r="63">
      <c r="B63" t="inlineStr">
        <is>
          <t>ROE (LL / PL final)</t>
        </is>
      </c>
      <c r="P63" s="23">
        <f>IF(SUM(P22:P23)=0,"",P38/SUM(P22:P23))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Cervejaria Mar Grosso S.A.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Vendas do ano de 520, sendo 380 à vista e 140 a prazo; o custo das mercadorias vendidas foi de 300</t>
        </is>
      </c>
      <c r="C6" s="8" t="inlineStr">
        <is>
          <t>Caixa</t>
        </is>
      </c>
      <c r="D6" s="9" t="n">
        <v>380</v>
      </c>
      <c r="E6" s="10" t="inlineStr">
        <is>
          <t>=</t>
        </is>
      </c>
      <c r="F6" s="8" t="n"/>
      <c r="G6" s="9" t="n"/>
      <c r="H6" s="10" t="inlineStr">
        <is>
          <t>+</t>
        </is>
      </c>
      <c r="I6" s="8" t="inlineStr">
        <is>
          <t>Lucros Acumulados</t>
        </is>
      </c>
      <c r="J6" s="9" t="n">
        <v>220</v>
      </c>
      <c r="K6" s="6">
        <f>IF(COUNT(D6:D8,G6:G8,J6:J8)=0,"",IF(SUM(D6:D8)-SUM(G6:G8)-SUM(J6:J8)=0,"✔","✗"))</f>
        <v/>
      </c>
    </row>
    <row r="7">
      <c r="C7" s="8" t="inlineStr">
        <is>
          <t>Contas a Receber</t>
        </is>
      </c>
      <c r="D7" s="9" t="n">
        <v>140</v>
      </c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C8" s="8" t="inlineStr">
        <is>
          <t>Estoques</t>
        </is>
      </c>
      <c r="D8" s="9" t="n">
        <v>-300</v>
      </c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</row>
    <row r="9">
      <c r="A9" s="6" t="n">
        <v>2</v>
      </c>
      <c r="B9" s="7" t="inlineStr">
        <is>
          <t>Compras de estoque no ano: 330, integralmente a prazo</t>
        </is>
      </c>
      <c r="C9" s="8" t="inlineStr">
        <is>
          <t>Estoques</t>
        </is>
      </c>
      <c r="D9" s="9" t="n">
        <v>330</v>
      </c>
      <c r="E9" s="10" t="inlineStr">
        <is>
          <t>=</t>
        </is>
      </c>
      <c r="F9" s="8" t="inlineStr">
        <is>
          <t>Fornecedores</t>
        </is>
      </c>
      <c r="G9" s="9" t="n">
        <v>330</v>
      </c>
      <c r="H9" s="10" t="inlineStr">
        <is>
          <t>+</t>
        </is>
      </c>
      <c r="I9" s="8" t="n"/>
      <c r="J9" s="9" t="n"/>
      <c r="K9" s="6">
        <f>IF(COUNT(D9:D10,G9:G10,J9:J10)=0,"",IF(SUM(D9:D10)-SUM(G9:G10)-SUM(J9:J10)=0,"✔","✗"))</f>
        <v/>
      </c>
    </row>
    <row r="10"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</row>
    <row r="11">
      <c r="A11" s="6" t="n">
        <v>3</v>
      </c>
      <c r="B11" s="7" t="inlineStr">
        <is>
          <t>Recebimento de 95 de clientes, referente a vendas de anos anteriores</t>
        </is>
      </c>
      <c r="C11" s="8" t="inlineStr">
        <is>
          <t>Caixa</t>
        </is>
      </c>
      <c r="D11" s="9" t="n">
        <v>95</v>
      </c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  <c r="K11" s="6">
        <f>IF(COUNT(D11:D12,G11:G12,J11:J12)=0,"",IF(SUM(D11:D12)-SUM(G11:G12)-SUM(J11:J12)=0,"✔","✗"))</f>
        <v/>
      </c>
    </row>
    <row r="12">
      <c r="C12" s="8" t="inlineStr">
        <is>
          <t>Contas a Receber</t>
        </is>
      </c>
      <c r="D12" s="9" t="n">
        <v>-95</v>
      </c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</row>
    <row r="13">
      <c r="A13" s="6" t="n">
        <v>4</v>
      </c>
      <c r="B13" s="7" t="inlineStr">
        <is>
          <t>Pagamento de 310 a fornecedores</t>
        </is>
      </c>
      <c r="C13" s="8" t="inlineStr">
        <is>
          <t>Caixa</t>
        </is>
      </c>
      <c r="D13" s="9" t="n">
        <v>-310</v>
      </c>
      <c r="E13" s="10" t="inlineStr">
        <is>
          <t>=</t>
        </is>
      </c>
      <c r="F13" s="8" t="inlineStr">
        <is>
          <t>Fornecedores</t>
        </is>
      </c>
      <c r="G13" s="9" t="n">
        <v>-310</v>
      </c>
      <c r="H13" s="10" t="inlineStr">
        <is>
          <t>+</t>
        </is>
      </c>
      <c r="I13" s="8" t="n"/>
      <c r="J13" s="9" t="n"/>
      <c r="K13" s="6">
        <f>IF(COUNT(D13:D14,G13:G14,J13:J14)=0,"",IF(SUM(D13:D14)-SUM(G13:G14)-SUM(J13:J14)=0,"✔","✗"))</f>
        <v/>
      </c>
    </row>
    <row r="14"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Cliente corporativo adianta 25 por uma encomenda que só será entregue no ano seguinte</t>
        </is>
      </c>
      <c r="C15" s="8" t="inlineStr">
        <is>
          <t>Caixa</t>
        </is>
      </c>
      <c r="D15" s="9" t="n">
        <v>25</v>
      </c>
      <c r="E15" s="10" t="inlineStr">
        <is>
          <t>=</t>
        </is>
      </c>
      <c r="F15" s="8" t="inlineStr">
        <is>
          <t>Adiantamentos de Clientes</t>
        </is>
      </c>
      <c r="G15" s="9" t="n">
        <v>25</v>
      </c>
      <c r="H15" s="10" t="inlineStr">
        <is>
          <t>+</t>
        </is>
      </c>
      <c r="I15" s="8" t="n"/>
      <c r="J15" s="9" t="n"/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Despesas de vendas e administrativas de 90, pagas à vista</t>
        </is>
      </c>
      <c r="C17" s="8" t="inlineStr">
        <is>
          <t>Caixa</t>
        </is>
      </c>
      <c r="D17" s="9" t="n">
        <v>-90</v>
      </c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inlineStr">
        <is>
          <t>Lucros Acumulados</t>
        </is>
      </c>
      <c r="J17" s="9" t="n">
        <v>-90</v>
      </c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  <row r="19">
      <c r="A19" s="6" t="n">
        <v>7</v>
      </c>
      <c r="B19" s="7" t="inlineStr">
        <is>
          <t>Depreciação do imobilizado no ano: 30</t>
        </is>
      </c>
      <c r="C19" s="8" t="inlineStr">
        <is>
          <t>(-) Depreciação Acumulada</t>
        </is>
      </c>
      <c r="D19" s="9" t="n">
        <v>-30</v>
      </c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inlineStr">
        <is>
          <t>Lucros Acumulados</t>
        </is>
      </c>
      <c r="J19" s="9" t="n">
        <v>-30</v>
      </c>
      <c r="K19" s="6">
        <f>IF(COUNT(D19:D20,G19:G20,J19:J20)=0,"",IF(SUM(D19:D20)-SUM(G19:G20)-SUM(J19:J20)=0,"✔","✗"))</f>
        <v/>
      </c>
    </row>
    <row r="20"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Captação de novo empréstimo bancário de 80</t>
        </is>
      </c>
      <c r="C21" s="8" t="inlineStr">
        <is>
          <t>Caixa</t>
        </is>
      </c>
      <c r="D21" s="9" t="n">
        <v>80</v>
      </c>
      <c r="E21" s="10" t="inlineStr">
        <is>
          <t>=</t>
        </is>
      </c>
      <c r="F21" s="8" t="inlineStr">
        <is>
          <t>Empréstimos</t>
        </is>
      </c>
      <c r="G21" s="9" t="n">
        <v>80</v>
      </c>
      <c r="H21" s="10" t="inlineStr">
        <is>
          <t>+</t>
        </is>
      </c>
      <c r="I21" s="8" t="n"/>
      <c r="J21" s="9" t="n"/>
      <c r="K21" s="6">
        <f>IF(COUNT(D21:D22,G21:G22,J21:J22)=0,"",IF(SUM(D21:D22)-SUM(G21:G22)-SUM(J21:J22)=0,"✔","✗"))</f>
        <v/>
      </c>
    </row>
    <row r="22">
      <c r="C22" s="8" t="n"/>
      <c r="D22" s="9" t="n"/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  <row r="23">
      <c r="A23" s="6" t="n">
        <v>9</v>
      </c>
      <c r="B23" s="7" t="inlineStr">
        <is>
          <t>Amortização de 50 do principal da dívida e pagamento de 10 de juros do período</t>
        </is>
      </c>
      <c r="C23" s="8" t="inlineStr">
        <is>
          <t>Caixa</t>
        </is>
      </c>
      <c r="D23" s="9" t="n">
        <v>-60</v>
      </c>
      <c r="E23" s="10" t="inlineStr">
        <is>
          <t>=</t>
        </is>
      </c>
      <c r="F23" s="8" t="inlineStr">
        <is>
          <t>Empréstimos</t>
        </is>
      </c>
      <c r="G23" s="9" t="n">
        <v>-50</v>
      </c>
      <c r="H23" s="10" t="inlineStr">
        <is>
          <t>+</t>
        </is>
      </c>
      <c r="I23" s="8" t="inlineStr">
        <is>
          <t>Lucros Acumulados</t>
        </is>
      </c>
      <c r="J23" s="9" t="n">
        <v>-10</v>
      </c>
      <c r="K23" s="6">
        <f>IF(COUNT(D23:D24,G23:G24,J23:J24)=0,"",IF(SUM(D23:D24)-SUM(G23:G24)-SUM(J23:J24)=0,"✔","✗"))</f>
        <v/>
      </c>
    </row>
    <row r="24">
      <c r="C24" s="8" t="n"/>
      <c r="D24" s="9" t="n"/>
      <c r="E24" s="10" t="inlineStr">
        <is>
          <t>=</t>
        </is>
      </c>
      <c r="F24" s="8" t="n"/>
      <c r="G24" s="9" t="n"/>
      <c r="H24" s="10" t="inlineStr">
        <is>
          <t>+</t>
        </is>
      </c>
      <c r="I24" s="8" t="n"/>
      <c r="J24" s="9" t="n"/>
    </row>
    <row r="25">
      <c r="A25" s="6" t="n">
        <v>10</v>
      </c>
      <c r="B25" s="7" t="inlineStr">
        <is>
          <t>Compra de um novo forno por 120, pagando 45 à vista e 75 em financiamento de longo prazo</t>
        </is>
      </c>
      <c r="C25" s="8" t="inlineStr">
        <is>
          <t>Caixa</t>
        </is>
      </c>
      <c r="D25" s="9" t="n">
        <v>-45</v>
      </c>
      <c r="E25" s="10" t="inlineStr">
        <is>
          <t>=</t>
        </is>
      </c>
      <c r="F25" s="8" t="inlineStr">
        <is>
          <t>Financiamento a Pagar (LP)</t>
        </is>
      </c>
      <c r="G25" s="9" t="n">
        <v>75</v>
      </c>
      <c r="H25" s="10" t="inlineStr">
        <is>
          <t>+</t>
        </is>
      </c>
      <c r="I25" s="8" t="n"/>
      <c r="J25" s="9" t="n"/>
      <c r="K25" s="6">
        <f>IF(COUNT(D25:D26,G25:G26,J25:J26)=0,"",IF(SUM(D25:D26)-SUM(G25:G26)-SUM(J25:J26)=0,"✔","✗"))</f>
        <v/>
      </c>
    </row>
    <row r="26">
      <c r="C26" s="8" t="inlineStr">
        <is>
          <t>Imobilizado</t>
        </is>
      </c>
      <c r="D26" s="9" t="n">
        <v>120</v>
      </c>
      <c r="E26" s="10" t="inlineStr">
        <is>
          <t>=</t>
        </is>
      </c>
      <c r="F26" s="8" t="n"/>
      <c r="G26" s="9" t="n"/>
      <c r="H26" s="10" t="inlineStr">
        <is>
          <t>+</t>
        </is>
      </c>
      <c r="I26" s="8" t="n"/>
      <c r="J26" s="9" t="n"/>
    </row>
    <row r="27">
      <c r="A27" s="6" t="n">
        <v>11</v>
      </c>
      <c r="B27" s="7" t="inlineStr">
        <is>
          <t>IR e CSLL do ano: 27, sendo 20 pagos à vista e 7 a recolher no ano seguinte</t>
        </is>
      </c>
      <c r="C27" s="8" t="inlineStr">
        <is>
          <t>Caixa</t>
        </is>
      </c>
      <c r="D27" s="9" t="n">
        <v>-20</v>
      </c>
      <c r="E27" s="10" t="inlineStr">
        <is>
          <t>=</t>
        </is>
      </c>
      <c r="F27" s="8" t="inlineStr">
        <is>
          <t>IR a Pagar</t>
        </is>
      </c>
      <c r="G27" s="9" t="n">
        <v>7</v>
      </c>
      <c r="H27" s="10" t="inlineStr">
        <is>
          <t>+</t>
        </is>
      </c>
      <c r="I27" s="8" t="inlineStr">
        <is>
          <t>Lucros Acumulados</t>
        </is>
      </c>
      <c r="J27" s="9" t="n">
        <v>-27</v>
      </c>
      <c r="K27" s="6">
        <f>IF(COUNT(D27:D28,G27:G28,J27:J28)=0,"",IF(SUM(D27:D28)-SUM(G27:G28)-SUM(J27:J28)=0,"✔","✗"))</f>
        <v/>
      </c>
    </row>
    <row r="28">
      <c r="C28" s="8" t="n"/>
      <c r="D28" s="9" t="n"/>
      <c r="E28" s="10" t="inlineStr">
        <is>
          <t>=</t>
        </is>
      </c>
      <c r="F28" s="8" t="n"/>
      <c r="G28" s="9" t="n"/>
      <c r="H28" s="10" t="inlineStr">
        <is>
          <t>+</t>
        </is>
      </c>
      <c r="I28" s="8" t="n"/>
      <c r="J28" s="9" t="n"/>
    </row>
    <row r="29">
      <c r="A29" s="6" t="n">
        <v>12</v>
      </c>
      <c r="B29" s="7" t="inlineStr">
        <is>
          <t>Dividendos de 25 declarados e pagos em dinheiro</t>
        </is>
      </c>
      <c r="C29" s="8" t="inlineStr">
        <is>
          <t>Caixa</t>
        </is>
      </c>
      <c r="D29" s="9" t="n">
        <v>-25</v>
      </c>
      <c r="E29" s="10" t="inlineStr">
        <is>
          <t>=</t>
        </is>
      </c>
      <c r="F29" s="8" t="n"/>
      <c r="G29" s="9" t="n"/>
      <c r="H29" s="10" t="inlineStr">
        <is>
          <t>+</t>
        </is>
      </c>
      <c r="I29" s="8" t="inlineStr">
        <is>
          <t>Lucros Acumulados</t>
        </is>
      </c>
      <c r="J29" s="9" t="n">
        <v>-25</v>
      </c>
      <c r="K29" s="6">
        <f>IF(COUNT(D29:D30,G29:G30,J29:J30)=0,"",IF(SUM(D29:D30)-SUM(G29:G30)-SUM(J29:J30)=0,"✔","✗"))</f>
        <v/>
      </c>
    </row>
    <row r="30">
      <c r="C30" s="8" t="n"/>
      <c r="D30" s="9" t="n"/>
      <c r="E30" s="10" t="inlineStr">
        <is>
          <t>=</t>
        </is>
      </c>
      <c r="F30" s="8" t="n"/>
      <c r="G30" s="9" t="n"/>
      <c r="H30" s="10" t="inlineStr">
        <is>
          <t>+</t>
        </is>
      </c>
      <c r="I30" s="8" t="n"/>
      <c r="J30" s="9" t="n"/>
    </row>
  </sheetData>
  <mergeCells count="39">
    <mergeCell ref="F4:G4"/>
    <mergeCell ref="B27:B28"/>
    <mergeCell ref="K21:K22"/>
    <mergeCell ref="B17:B18"/>
    <mergeCell ref="B11:B12"/>
    <mergeCell ref="B29:B30"/>
    <mergeCell ref="C4:D4"/>
    <mergeCell ref="B23:B24"/>
    <mergeCell ref="A27:A28"/>
    <mergeCell ref="K6:K8"/>
    <mergeCell ref="K11:K12"/>
    <mergeCell ref="K27:K28"/>
    <mergeCell ref="B13:B14"/>
    <mergeCell ref="A25:A26"/>
    <mergeCell ref="B19:B20"/>
    <mergeCell ref="B15:B16"/>
    <mergeCell ref="A21:A22"/>
    <mergeCell ref="B9:B10"/>
    <mergeCell ref="A17:A18"/>
    <mergeCell ref="K17:K18"/>
    <mergeCell ref="A13:A14"/>
    <mergeCell ref="K23:K24"/>
    <mergeCell ref="B6:B8"/>
    <mergeCell ref="A29:A30"/>
    <mergeCell ref="K13:K14"/>
    <mergeCell ref="A23:A24"/>
    <mergeCell ref="A6:A8"/>
    <mergeCell ref="A19:A20"/>
    <mergeCell ref="K19:K20"/>
    <mergeCell ref="I4:J4"/>
    <mergeCell ref="K9:K10"/>
    <mergeCell ref="A9:A10"/>
    <mergeCell ref="K25:K26"/>
    <mergeCell ref="A15:A16"/>
    <mergeCell ref="B25:B26"/>
    <mergeCell ref="K15:K16"/>
    <mergeCell ref="K29:K30"/>
    <mergeCell ref="B21:B22"/>
    <mergeCell ref="A11:A12"/>
  </mergeCells>
  <dataValidations count="3">
    <dataValidation sqref="C6 C7 C8 C9 C10 C11 C12 C13 C14 C15 C16 C17 C18 C19 C20 C21 C22 C23 C24 C25 C26 C27 C28 C29 C30" showDropDown="0" showInputMessage="0" showErrorMessage="0" allowBlank="1" type="list">
      <formula1>"Caixa,Contas a Receber,Estoques,Imobilizado,(-) Depreciação Acumulada"</formula1>
    </dataValidation>
    <dataValidation sqref="F6 F7 F8 F9 F10 F11 F12 F13 F14 F15 F16 F17 F18 F19 F20 F21 F22 F23 F24 F25 F26 F27 F28 F29 F30" showDropDown="0" showInputMessage="0" showErrorMessage="0" allowBlank="1" type="list">
      <formula1>"Fornecedores,Adiantamentos de Clientes,IR a Pagar,Empréstimos,Financiamento a Pagar (LP)"</formula1>
    </dataValidation>
    <dataValidation sqref="I6 I7 I8 I9 I10 I11 I12 I13 I14 I15 I16 I17 I18 I19 I20 I21 I22 I23 I24 I25 I26 I27 I28 I29 I30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2026-08-10T22:12:56Z</dcterms:created>
  <dcterms:modified xmlns:dcterms="http://purl.org/dc/terms/" xmlns:xsi="http://www.w3.org/2001/XMLSchema-instance" xsi:type="dcterms:W3CDTF">2026-08-10T22:12:56Z</dcterms:modified>
</cp:coreProperties>
</file>