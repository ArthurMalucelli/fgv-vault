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ção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Gabarito" sheetId="3" state="visible" r:id="rId3"/>
    <sheet xmlns:r="http://schemas.openxmlformats.org/officeDocument/2006/relationships" name="Gabarito Equ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&quot;-&quot;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  <font>
      <b val="1"/>
    </font>
    <font>
      <i val="1"/>
      <color rgb="00808080"/>
      <sz val="8"/>
    </font>
    <font>
      <b val="1"/>
      <i val="1"/>
      <sz val="9"/>
    </font>
    <font>
      <b val="1"/>
      <i val="1"/>
    </font>
    <font>
      <b val="1"/>
      <color rgb="00C00000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4" borderId="1" pivotButton="0" quotePrefix="0" xfId="0"/>
    <xf numFmtId="164" fontId="0" fillId="4" borderId="1" pivotButton="0" quotePrefix="0" xfId="0"/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vertical="bottom" wrapText="1"/>
    </xf>
    <xf numFmtId="0" fontId="3" fillId="3" borderId="0" pivotButton="0" quotePrefix="0" xfId="0"/>
    <xf numFmtId="0" fontId="3" fillId="5" borderId="0" pivotButton="0" quotePrefix="0" xfId="0"/>
    <xf numFmtId="0" fontId="6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164" fontId="3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4" customWidth="1" min="3" max="3"/>
    <col width="13" customWidth="1" min="4" max="4"/>
    <col width="3" customWidth="1" min="5" max="5"/>
    <col width="24" customWidth="1" min="6" max="6"/>
    <col width="13" customWidth="1" min="7" max="7"/>
    <col width="3" customWidth="1" min="8" max="8"/>
    <col width="20" customWidth="1" min="9" max="9"/>
    <col width="13" customWidth="1" min="10" max="10"/>
    <col width="8" customWidth="1" min="11" max="11"/>
  </cols>
  <sheetData>
    <row r="1">
      <c r="A1" s="1" t="inlineStr">
        <is>
          <t>Metalúrgica Pilar S.A.  |  Efeito das transações na Equação do Balanço</t>
        </is>
      </c>
    </row>
    <row r="2">
      <c r="A2" s="2" t="inlineStr">
        <is>
          <t>Uma linha por movimento: escreve a conta e o valor, com sinal. Transação que mexe em três contas do mesmo lado usa as três linhas. A coluna Check acusa se aquela transação fechou.</t>
        </is>
      </c>
    </row>
    <row r="4">
      <c r="A4" s="3" t="inlineStr">
        <is>
          <t>Nº</t>
        </is>
      </c>
      <c r="B4" s="3" t="inlineStr">
        <is>
          <t>Descrição</t>
        </is>
      </c>
      <c r="C4" s="3" t="inlineStr">
        <is>
          <t>ATIVO</t>
        </is>
      </c>
      <c r="D4" s="4" t="n"/>
      <c r="E4" s="3" t="inlineStr">
        <is>
          <t>=</t>
        </is>
      </c>
      <c r="F4" s="3" t="inlineStr">
        <is>
          <t>PASSIVO</t>
        </is>
      </c>
      <c r="G4" s="4" t="n"/>
      <c r="H4" s="3" t="inlineStr">
        <is>
          <t>+</t>
        </is>
      </c>
      <c r="I4" s="3" t="inlineStr">
        <is>
          <t>PATRIMÔNIO LÍQUIDO</t>
        </is>
      </c>
      <c r="J4" s="4" t="n"/>
      <c r="K4" s="3" t="inlineStr">
        <is>
          <t>Check</t>
        </is>
      </c>
    </row>
    <row r="5">
      <c r="C5" s="5" t="inlineStr">
        <is>
          <t>conta</t>
        </is>
      </c>
      <c r="D5" s="5" t="inlineStr">
        <is>
          <t>valor</t>
        </is>
      </c>
      <c r="F5" s="5" t="inlineStr">
        <is>
          <t>conta</t>
        </is>
      </c>
      <c r="G5" s="5" t="inlineStr">
        <is>
          <t>valor</t>
        </is>
      </c>
      <c r="I5" s="5" t="inlineStr">
        <is>
          <t>conta</t>
        </is>
      </c>
      <c r="J5" s="5" t="inlineStr">
        <is>
          <t>valor</t>
        </is>
      </c>
    </row>
    <row r="6">
      <c r="A6" s="6" t="n">
        <v>1</v>
      </c>
      <c r="B6" s="7" t="inlineStr">
        <is>
          <t>Compra de matéria-prima por 260, sendo 60 à vista e 200 a prazo</t>
        </is>
      </c>
      <c r="C6" s="8" t="n"/>
      <c r="D6" s="9" t="n"/>
      <c r="E6" s="10" t="inlineStr">
        <is>
          <t>=</t>
        </is>
      </c>
      <c r="F6" s="8" t="n"/>
      <c r="G6" s="9" t="n"/>
      <c r="H6" s="10" t="inlineStr">
        <is>
          <t>+</t>
        </is>
      </c>
      <c r="I6" s="8" t="n"/>
      <c r="J6" s="9" t="n"/>
      <c r="K6" s="6">
        <f>IF(COUNT(D6:D7,G6:G7,J6:J7)=0,"",IF(SUM(D6:D7)-SUM(G6:G7)-SUM(J6:J7)=0,"✔","✗"))</f>
        <v/>
      </c>
    </row>
    <row r="7">
      <c r="C7" s="8" t="n"/>
      <c r="D7" s="9" t="n"/>
      <c r="E7" s="10" t="inlineStr">
        <is>
          <t>=</t>
        </is>
      </c>
      <c r="F7" s="8" t="n"/>
      <c r="G7" s="9" t="n"/>
      <c r="H7" s="10" t="inlineStr">
        <is>
          <t>+</t>
        </is>
      </c>
      <c r="I7" s="8" t="n"/>
      <c r="J7" s="9" t="n"/>
    </row>
    <row r="8">
      <c r="A8" s="6" t="n">
        <v>2</v>
      </c>
      <c r="B8" s="7" t="inlineStr">
        <is>
          <t>Requisição de 250 de matéria-prima para a linha de produção</t>
        </is>
      </c>
      <c r="C8" s="8" t="n"/>
      <c r="D8" s="9" t="n"/>
      <c r="E8" s="10" t="inlineStr">
        <is>
          <t>=</t>
        </is>
      </c>
      <c r="F8" s="8" t="n"/>
      <c r="G8" s="9" t="n"/>
      <c r="H8" s="10" t="inlineStr">
        <is>
          <t>+</t>
        </is>
      </c>
      <c r="I8" s="8" t="n"/>
      <c r="J8" s="9" t="n"/>
      <c r="K8" s="6">
        <f>IF(COUNT(D8:D9,G8:G9,J8:J9)=0,"",IF(SUM(D8:D9)-SUM(G8:G9)-SUM(J8:J9)=0,"✔","✗"))</f>
        <v/>
      </c>
    </row>
    <row r="9">
      <c r="C9" s="8" t="n"/>
      <c r="D9" s="9" t="n"/>
      <c r="E9" s="10" t="inlineStr">
        <is>
          <t>=</t>
        </is>
      </c>
      <c r="F9" s="8" t="n"/>
      <c r="G9" s="9" t="n"/>
      <c r="H9" s="10" t="inlineStr">
        <is>
          <t>+</t>
        </is>
      </c>
      <c r="I9" s="8" t="n"/>
      <c r="J9" s="9" t="n"/>
    </row>
    <row r="10">
      <c r="A10" s="6" t="n">
        <v>3</v>
      </c>
      <c r="B10" s="7" t="inlineStr">
        <is>
          <t>Folha da fábrica do ano, 180, apropriada ao custo de produção</t>
        </is>
      </c>
      <c r="C10" s="8" t="n"/>
      <c r="D10" s="9" t="n"/>
      <c r="E10" s="10" t="inlineStr">
        <is>
          <t>=</t>
        </is>
      </c>
      <c r="F10" s="8" t="n"/>
      <c r="G10" s="9" t="n"/>
      <c r="H10" s="10" t="inlineStr">
        <is>
          <t>+</t>
        </is>
      </c>
      <c r="I10" s="8" t="n"/>
      <c r="J10" s="9" t="n"/>
      <c r="K10" s="6">
        <f>IF(COUNT(D10:D11,G10:G11,J10:J11)=0,"",IF(SUM(D10:D11)-SUM(G10:G11)-SUM(J10:J11)=0,"✔","✗"))</f>
        <v/>
      </c>
    </row>
    <row r="11">
      <c r="C11" s="8" t="n"/>
      <c r="D11" s="9" t="n"/>
      <c r="E11" s="10" t="inlineStr">
        <is>
          <t>=</t>
        </is>
      </c>
      <c r="F11" s="8" t="n"/>
      <c r="G11" s="9" t="n"/>
      <c r="H11" s="10" t="inlineStr">
        <is>
          <t>+</t>
        </is>
      </c>
      <c r="I11" s="8" t="n"/>
      <c r="J11" s="9" t="n"/>
    </row>
    <row r="12">
      <c r="A12" s="6" t="n">
        <v>4</v>
      </c>
      <c r="B12" s="7" t="inlineStr">
        <is>
          <t>Pagamento de salários: 190 em dinheiro, incluindo os 20 devidos do ano anterior</t>
        </is>
      </c>
      <c r="C12" s="8" t="n"/>
      <c r="D12" s="9" t="n"/>
      <c r="E12" s="10" t="inlineStr">
        <is>
          <t>=</t>
        </is>
      </c>
      <c r="F12" s="8" t="n"/>
      <c r="G12" s="9" t="n"/>
      <c r="H12" s="10" t="inlineStr">
        <is>
          <t>+</t>
        </is>
      </c>
      <c r="I12" s="8" t="n"/>
      <c r="J12" s="9" t="n"/>
      <c r="K12" s="6">
        <f>IF(COUNT(D12:D13,G12:G13,J12:J13)=0,"",IF(SUM(D12:D13)-SUM(G12:G13)-SUM(J12:J13)=0,"✔","✗"))</f>
        <v/>
      </c>
    </row>
    <row r="13">
      <c r="C13" s="8" t="n"/>
      <c r="D13" s="9" t="n"/>
      <c r="E13" s="10" t="inlineStr">
        <is>
          <t>=</t>
        </is>
      </c>
      <c r="F13" s="8" t="n"/>
      <c r="G13" s="9" t="n"/>
      <c r="H13" s="10" t="inlineStr">
        <is>
          <t>+</t>
        </is>
      </c>
      <c r="I13" s="8" t="n"/>
      <c r="J13" s="9" t="n"/>
    </row>
    <row r="14">
      <c r="A14" s="6" t="n">
        <v>5</v>
      </c>
      <c r="B14" s="7" t="inlineStr">
        <is>
          <t>Depreciação do ano: 40, sendo 30 das máquinas da fábrica e 10 dos móveis do escritório</t>
        </is>
      </c>
      <c r="C14" s="8" t="n"/>
      <c r="D14" s="9" t="n"/>
      <c r="E14" s="10" t="inlineStr">
        <is>
          <t>=</t>
        </is>
      </c>
      <c r="F14" s="8" t="n"/>
      <c r="G14" s="9" t="n"/>
      <c r="H14" s="10" t="inlineStr">
        <is>
          <t>+</t>
        </is>
      </c>
      <c r="I14" s="8" t="n"/>
      <c r="J14" s="9" t="n"/>
      <c r="K14" s="6">
        <f>IF(COUNT(D14:D15,G14:G15,J14:J15)=0,"",IF(SUM(D14:D15)-SUM(G14:G15)-SUM(J14:J15)=0,"✔","✗"))</f>
        <v/>
      </c>
    </row>
    <row r="15">
      <c r="C15" s="8" t="n"/>
      <c r="D15" s="9" t="n"/>
      <c r="E15" s="10" t="inlineStr">
        <is>
          <t>=</t>
        </is>
      </c>
      <c r="F15" s="8" t="n"/>
      <c r="G15" s="9" t="n"/>
      <c r="H15" s="10" t="inlineStr">
        <is>
          <t>+</t>
        </is>
      </c>
      <c r="I15" s="8" t="n"/>
      <c r="J15" s="9" t="n"/>
    </row>
    <row r="16">
      <c r="A16" s="6" t="n">
        <v>6</v>
      </c>
      <c r="B16" s="7" t="inlineStr">
        <is>
          <t>Produção concluída no ano e transferida para produtos acabados: 470</t>
        </is>
      </c>
      <c r="C16" s="8" t="n"/>
      <c r="D16" s="9" t="n"/>
      <c r="E16" s="10" t="inlineStr">
        <is>
          <t>=</t>
        </is>
      </c>
      <c r="F16" s="8" t="n"/>
      <c r="G16" s="9" t="n"/>
      <c r="H16" s="10" t="inlineStr">
        <is>
          <t>+</t>
        </is>
      </c>
      <c r="I16" s="8" t="n"/>
      <c r="J16" s="9" t="n"/>
      <c r="K16" s="6">
        <f>IF(COUNT(D16:D17,G16:G17,J16:J17)=0,"",IF(SUM(D16:D17)-SUM(G16:G17)-SUM(J16:J17)=0,"✔","✗"))</f>
        <v/>
      </c>
    </row>
    <row r="17">
      <c r="C17" s="8" t="n"/>
      <c r="D17" s="9" t="n"/>
      <c r="E17" s="10" t="inlineStr">
        <is>
          <t>=</t>
        </is>
      </c>
      <c r="F17" s="8" t="n"/>
      <c r="G17" s="9" t="n"/>
      <c r="H17" s="10" t="inlineStr">
        <is>
          <t>+</t>
        </is>
      </c>
      <c r="I17" s="8" t="n"/>
      <c r="J17" s="9" t="n"/>
    </row>
    <row r="18">
      <c r="A18" s="6" t="n">
        <v>7</v>
      </c>
      <c r="B18" s="7" t="inlineStr">
        <is>
          <t>Vendas do ano: 700, sendo 450 à vista e 250 a prazo; o custo dos produtos vendidos foi 480</t>
        </is>
      </c>
      <c r="C18" s="8" t="n"/>
      <c r="D18" s="9" t="n"/>
      <c r="E18" s="10" t="inlineStr">
        <is>
          <t>=</t>
        </is>
      </c>
      <c r="F18" s="8" t="n"/>
      <c r="G18" s="9" t="n"/>
      <c r="H18" s="10" t="inlineStr">
        <is>
          <t>+</t>
        </is>
      </c>
      <c r="I18" s="8" t="n"/>
      <c r="J18" s="9" t="n"/>
      <c r="K18" s="6">
        <f>IF(COUNT(D18:D20,G18:G20,J18:J20)=0,"",IF(SUM(D18:D20)-SUM(G18:G20)-SUM(J18:J20)=0,"✔","✗"))</f>
        <v/>
      </c>
    </row>
    <row r="19">
      <c r="C19" s="8" t="n"/>
      <c r="D19" s="9" t="n"/>
      <c r="E19" s="10" t="inlineStr">
        <is>
          <t>=</t>
        </is>
      </c>
      <c r="F19" s="8" t="n"/>
      <c r="G19" s="9" t="n"/>
      <c r="H19" s="10" t="inlineStr">
        <is>
          <t>+</t>
        </is>
      </c>
      <c r="I19" s="8" t="n"/>
      <c r="J19" s="9" t="n"/>
    </row>
    <row r="20">
      <c r="C20" s="8" t="n"/>
      <c r="D20" s="9" t="n"/>
      <c r="E20" s="10" t="inlineStr">
        <is>
          <t>=</t>
        </is>
      </c>
      <c r="F20" s="8" t="n"/>
      <c r="G20" s="9" t="n"/>
      <c r="H20" s="10" t="inlineStr">
        <is>
          <t>+</t>
        </is>
      </c>
      <c r="I20" s="8" t="n"/>
      <c r="J20" s="9" t="n"/>
    </row>
    <row r="21">
      <c r="A21" s="6" t="n">
        <v>8</v>
      </c>
      <c r="B21" s="7" t="inlineStr">
        <is>
          <t>Recebimento de 210 de clientes, referente a vendas de anos anteriores</t>
        </is>
      </c>
      <c r="C21" s="8" t="n"/>
      <c r="D21" s="9" t="n"/>
      <c r="E21" s="10" t="inlineStr">
        <is>
          <t>=</t>
        </is>
      </c>
      <c r="F21" s="8" t="n"/>
      <c r="G21" s="9" t="n"/>
      <c r="H21" s="10" t="inlineStr">
        <is>
          <t>+</t>
        </is>
      </c>
      <c r="I21" s="8" t="n"/>
      <c r="J21" s="9" t="n"/>
      <c r="K21" s="6">
        <f>IF(COUNT(D21:D22,G21:G22,J21:J22)=0,"",IF(SUM(D21:D22)-SUM(G21:G22)-SUM(J21:J22)=0,"✔","✗"))</f>
        <v/>
      </c>
    </row>
    <row r="22">
      <c r="C22" s="8" t="n"/>
      <c r="D22" s="9" t="n"/>
      <c r="E22" s="10" t="inlineStr">
        <is>
          <t>=</t>
        </is>
      </c>
      <c r="F22" s="8" t="n"/>
      <c r="G22" s="9" t="n"/>
      <c r="H22" s="10" t="inlineStr">
        <is>
          <t>+</t>
        </is>
      </c>
      <c r="I22" s="8" t="n"/>
      <c r="J22" s="9" t="n"/>
    </row>
    <row r="23">
      <c r="A23" s="6" t="n">
        <v>9</v>
      </c>
      <c r="B23" s="7" t="inlineStr">
        <is>
          <t>Pagamento de 230 a fornecedores</t>
        </is>
      </c>
      <c r="C23" s="8" t="n"/>
      <c r="D23" s="9" t="n"/>
      <c r="E23" s="10" t="inlineStr">
        <is>
          <t>=</t>
        </is>
      </c>
      <c r="F23" s="8" t="n"/>
      <c r="G23" s="9" t="n"/>
      <c r="H23" s="10" t="inlineStr">
        <is>
          <t>+</t>
        </is>
      </c>
      <c r="I23" s="8" t="n"/>
      <c r="J23" s="9" t="n"/>
      <c r="K23" s="6">
        <f>IF(COUNT(D23:D24,G23:G24,J23:J24)=0,"",IF(SUM(D23:D24)-SUM(G23:G24)-SUM(J23:J24)=0,"✔","✗"))</f>
        <v/>
      </c>
    </row>
    <row r="24">
      <c r="C24" s="8" t="n"/>
      <c r="D24" s="9" t="n"/>
      <c r="E24" s="10" t="inlineStr">
        <is>
          <t>=</t>
        </is>
      </c>
      <c r="F24" s="8" t="n"/>
      <c r="G24" s="9" t="n"/>
      <c r="H24" s="10" t="inlineStr">
        <is>
          <t>+</t>
        </is>
      </c>
      <c r="I24" s="8" t="n"/>
      <c r="J24" s="9" t="n"/>
    </row>
    <row r="25">
      <c r="A25" s="6" t="n">
        <v>10</v>
      </c>
      <c r="B25" s="7" t="inlineStr">
        <is>
          <t>Despesas comerciais e administrativas do ano: 90, pagas à vista</t>
        </is>
      </c>
      <c r="C25" s="8" t="n"/>
      <c r="D25" s="9" t="n"/>
      <c r="E25" s="10" t="inlineStr">
        <is>
          <t>=</t>
        </is>
      </c>
      <c r="F25" s="8" t="n"/>
      <c r="G25" s="9" t="n"/>
      <c r="H25" s="10" t="inlineStr">
        <is>
          <t>+</t>
        </is>
      </c>
      <c r="I25" s="8" t="n"/>
      <c r="J25" s="9" t="n"/>
      <c r="K25" s="6">
        <f>IF(COUNT(D25:D26,G25:G26,J25:J26)=0,"",IF(SUM(D25:D26)-SUM(G25:G26)-SUM(J25:J26)=0,"✔","✗"))</f>
        <v/>
      </c>
    </row>
    <row r="26">
      <c r="C26" s="8" t="n"/>
      <c r="D26" s="9" t="n"/>
      <c r="E26" s="10" t="inlineStr">
        <is>
          <t>=</t>
        </is>
      </c>
      <c r="F26" s="8" t="n"/>
      <c r="G26" s="9" t="n"/>
      <c r="H26" s="10" t="inlineStr">
        <is>
          <t>+</t>
        </is>
      </c>
      <c r="I26" s="8" t="n"/>
      <c r="J26" s="9" t="n"/>
    </row>
    <row r="27">
      <c r="A27" s="6" t="n">
        <v>11</v>
      </c>
      <c r="B27" s="7" t="inlineStr">
        <is>
          <t>Compra à vista de uma nova prensa por 60</t>
        </is>
      </c>
      <c r="C27" s="8" t="n"/>
      <c r="D27" s="9" t="n"/>
      <c r="E27" s="10" t="inlineStr">
        <is>
          <t>=</t>
        </is>
      </c>
      <c r="F27" s="8" t="n"/>
      <c r="G27" s="9" t="n"/>
      <c r="H27" s="10" t="inlineStr">
        <is>
          <t>+</t>
        </is>
      </c>
      <c r="I27" s="8" t="n"/>
      <c r="J27" s="9" t="n"/>
      <c r="K27" s="6">
        <f>IF(COUNT(D27:D28,G27:G28,J27:J28)=0,"",IF(SUM(D27:D28)-SUM(G27:G28)-SUM(J27:J28)=0,"✔","✗"))</f>
        <v/>
      </c>
    </row>
    <row r="28">
      <c r="C28" s="8" t="n"/>
      <c r="D28" s="9" t="n"/>
      <c r="E28" s="10" t="inlineStr">
        <is>
          <t>=</t>
        </is>
      </c>
      <c r="F28" s="8" t="n"/>
      <c r="G28" s="9" t="n"/>
      <c r="H28" s="10" t="inlineStr">
        <is>
          <t>+</t>
        </is>
      </c>
      <c r="I28" s="8" t="n"/>
      <c r="J28" s="9" t="n"/>
    </row>
    <row r="29">
      <c r="A29" s="6" t="n">
        <v>12</v>
      </c>
      <c r="B29" s="7" t="inlineStr">
        <is>
          <t>Pagamento de 20 de juros e amortização de 50 do principal da dívida</t>
        </is>
      </c>
      <c r="C29" s="8" t="n"/>
      <c r="D29" s="9" t="n"/>
      <c r="E29" s="10" t="inlineStr">
        <is>
          <t>=</t>
        </is>
      </c>
      <c r="F29" s="8" t="n"/>
      <c r="G29" s="9" t="n"/>
      <c r="H29" s="10" t="inlineStr">
        <is>
          <t>+</t>
        </is>
      </c>
      <c r="I29" s="8" t="n"/>
      <c r="J29" s="9" t="n"/>
      <c r="K29" s="6">
        <f>IF(COUNT(D29:D30,G29:G30,J29:J30)=0,"",IF(SUM(D29:D30)-SUM(G29:G30)-SUM(J29:J30)=0,"✔","✗"))</f>
        <v/>
      </c>
    </row>
    <row r="30">
      <c r="C30" s="8" t="n"/>
      <c r="D30" s="9" t="n"/>
      <c r="E30" s="10" t="inlineStr">
        <is>
          <t>=</t>
        </is>
      </c>
      <c r="F30" s="8" t="n"/>
      <c r="G30" s="9" t="n"/>
      <c r="H30" s="10" t="inlineStr">
        <is>
          <t>+</t>
        </is>
      </c>
      <c r="I30" s="8" t="n"/>
      <c r="J30" s="9" t="n"/>
    </row>
    <row r="31">
      <c r="A31" s="6" t="n">
        <v>13</v>
      </c>
      <c r="B31" s="7" t="inlineStr">
        <is>
          <t>IR e CSLL do ano: 30, pagos integralmente à vista</t>
        </is>
      </c>
      <c r="C31" s="8" t="n"/>
      <c r="D31" s="9" t="n"/>
      <c r="E31" s="10" t="inlineStr">
        <is>
          <t>=</t>
        </is>
      </c>
      <c r="F31" s="8" t="n"/>
      <c r="G31" s="9" t="n"/>
      <c r="H31" s="10" t="inlineStr">
        <is>
          <t>+</t>
        </is>
      </c>
      <c r="I31" s="8" t="n"/>
      <c r="J31" s="9" t="n"/>
      <c r="K31" s="6">
        <f>IF(COUNT(D31:D32,G31:G32,J31:J32)=0,"",IF(SUM(D31:D32)-SUM(G31:G32)-SUM(J31:J32)=0,"✔","✗"))</f>
        <v/>
      </c>
    </row>
    <row r="32">
      <c r="C32" s="8" t="n"/>
      <c r="D32" s="9" t="n"/>
      <c r="E32" s="10" t="inlineStr">
        <is>
          <t>=</t>
        </is>
      </c>
      <c r="F32" s="8" t="n"/>
      <c r="G32" s="9" t="n"/>
      <c r="H32" s="10" t="inlineStr">
        <is>
          <t>+</t>
        </is>
      </c>
      <c r="I32" s="8" t="n"/>
      <c r="J32" s="9" t="n"/>
    </row>
    <row r="33">
      <c r="A33" s="6" t="n">
        <v>14</v>
      </c>
      <c r="B33" s="7" t="inlineStr">
        <is>
          <t>Dividendos de 25 declarados e pagos em dinheiro</t>
        </is>
      </c>
      <c r="C33" s="8" t="n"/>
      <c r="D33" s="9" t="n"/>
      <c r="E33" s="10" t="inlineStr">
        <is>
          <t>=</t>
        </is>
      </c>
      <c r="F33" s="8" t="n"/>
      <c r="G33" s="9" t="n"/>
      <c r="H33" s="10" t="inlineStr">
        <is>
          <t>+</t>
        </is>
      </c>
      <c r="I33" s="8" t="n"/>
      <c r="J33" s="9" t="n"/>
      <c r="K33" s="6">
        <f>IF(COUNT(D33:D34,G33:G34,J33:J34)=0,"",IF(SUM(D33:D34)-SUM(G33:G34)-SUM(J33:J34)=0,"✔","✗"))</f>
        <v/>
      </c>
    </row>
    <row r="34">
      <c r="C34" s="8" t="n"/>
      <c r="D34" s="9" t="n"/>
      <c r="E34" s="10" t="inlineStr">
        <is>
          <t>=</t>
        </is>
      </c>
      <c r="F34" s="8" t="n"/>
      <c r="G34" s="9" t="n"/>
      <c r="H34" s="10" t="inlineStr">
        <is>
          <t>+</t>
        </is>
      </c>
      <c r="I34" s="8" t="n"/>
      <c r="J34" s="9" t="n"/>
    </row>
  </sheetData>
  <mergeCells count="46">
    <mergeCell ref="F4:G4"/>
    <mergeCell ref="B27:B28"/>
    <mergeCell ref="K21:K22"/>
    <mergeCell ref="B12:B13"/>
    <mergeCell ref="K33:K34"/>
    <mergeCell ref="B8:B9"/>
    <mergeCell ref="A16:A17"/>
    <mergeCell ref="A6:A7"/>
    <mergeCell ref="B14:B15"/>
    <mergeCell ref="B29:B30"/>
    <mergeCell ref="C4:D4"/>
    <mergeCell ref="B23:B24"/>
    <mergeCell ref="A27:A28"/>
    <mergeCell ref="A12:A13"/>
    <mergeCell ref="A25:A26"/>
    <mergeCell ref="K27:K28"/>
    <mergeCell ref="K12:K13"/>
    <mergeCell ref="B10:B11"/>
    <mergeCell ref="K31:K32"/>
    <mergeCell ref="B6:B7"/>
    <mergeCell ref="A14:A15"/>
    <mergeCell ref="A21:A22"/>
    <mergeCell ref="K18:K20"/>
    <mergeCell ref="A1:D1"/>
    <mergeCell ref="A8:A9"/>
    <mergeCell ref="K14:K15"/>
    <mergeCell ref="K23:K24"/>
    <mergeCell ref="K8:K9"/>
    <mergeCell ref="A33:A34"/>
    <mergeCell ref="A29:A30"/>
    <mergeCell ref="B33:B34"/>
    <mergeCell ref="A23:A24"/>
    <mergeCell ref="A10:A11"/>
    <mergeCell ref="B18:B20"/>
    <mergeCell ref="K10:K11"/>
    <mergeCell ref="I4:J4"/>
    <mergeCell ref="K25:K26"/>
    <mergeCell ref="K16:K17"/>
    <mergeCell ref="B25:B26"/>
    <mergeCell ref="K6:K7"/>
    <mergeCell ref="B16:B17"/>
    <mergeCell ref="A31:A32"/>
    <mergeCell ref="K29:K30"/>
    <mergeCell ref="B21:B22"/>
    <mergeCell ref="A18:A20"/>
    <mergeCell ref="B31:B32"/>
  </mergeCells>
  <dataValidations count="3">
    <dataValidation sqref="C6 C7 C8 C9 C10 C11 C12 C13 C14 C15 C16 C17 C18 C19 C20 C21 C22 C23 C24 C25 C26 C27 C28 C29 C30 C31 C32 C33 C34" showDropDown="0" showInputMessage="0" showErrorMessage="0" allowBlank="1" type="list">
      <formula1>"Caixa,Contas a Receber,Estoque de Matéria-Prima,Produtos em Elaboração,Produtos Acabados,Imobilizado,(-) Depreciação Acumulada"</formula1>
    </dataValidation>
    <dataValidation sqref="F6 F7 F8 F9 F10 F11 F12 F13 F14 F15 F16 F17 F18 F19 F20 F21 F22 F23 F24 F25 F26 F27 F28 F29 F30 F31 F32 F33 F34" showDropDown="0" showInputMessage="0" showErrorMessage="0" allowBlank="1" type="list">
      <formula1>"Fornecedores,Salários a Pagar,Empréstimos"</formula1>
    </dataValidation>
    <dataValidation sqref="I6 I7 I8 I9 I10 I11 I12 I13 I14 I15 I16 I17 I18 I19 I20 I21 I22 I23 I24 I25 I26 I27 I28 I29 I30 I31 I32 I33 I34" showDropDown="0" showInputMessage="0" showErrorMessage="0" allowBlank="1" type="list">
      <formula1>"Capital Social,Lucros Acumulados"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T6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3" customWidth="1" min="19" max="19"/>
    <col width="13" customWidth="1" min="20" max="20"/>
  </cols>
  <sheetData>
    <row r="1">
      <c r="B1" s="1" t="inlineStr">
        <is>
          <t>Metalúrgica Pilar S.A.</t>
        </is>
      </c>
      <c r="D1" s="11" t="inlineStr">
        <is>
          <t>Transações, por Número e Descrição</t>
        </is>
      </c>
    </row>
    <row r="2" ht="42" customHeight="1">
      <c r="B2" s="2" t="inlineStr">
        <is>
          <t>Ano 3  |  valores em R$ mil</t>
        </is>
      </c>
      <c r="D2" s="12" t="inlineStr">
        <is>
          <t>Compra de matéria-prima por 260, sendo 60 à vista e 200 a pr</t>
        </is>
      </c>
      <c r="E2" s="12" t="inlineStr">
        <is>
          <t>Requisição de 250 de matéria-prima para a linha de produção</t>
        </is>
      </c>
      <c r="F2" s="12" t="inlineStr">
        <is>
          <t>Folha da fábrica do ano, 180, apropriada ao custo de produçã</t>
        </is>
      </c>
      <c r="G2" s="12" t="inlineStr">
        <is>
          <t>Pagamento de salários: 190 em dinheiro, incluindo os 20 devi</t>
        </is>
      </c>
      <c r="H2" s="12" t="inlineStr">
        <is>
          <t>Depreciação do ano: 40, sendo 30 das máquinas da fábrica e 1</t>
        </is>
      </c>
      <c r="I2" s="12" t="inlineStr">
        <is>
          <t>Produção concluída no ano e transferida para produtos acabad</t>
        </is>
      </c>
      <c r="J2" s="12" t="inlineStr">
        <is>
          <t>Vendas do ano: 700, sendo 450 à vista e 250 a prazo; o custo</t>
        </is>
      </c>
      <c r="K2" s="12" t="inlineStr">
        <is>
          <t>Recebimento de 210 de clientes, referente a vendas de anos a</t>
        </is>
      </c>
      <c r="L2" s="12" t="inlineStr">
        <is>
          <t>Pagamento de 230 a fornecedores</t>
        </is>
      </c>
      <c r="M2" s="12" t="inlineStr">
        <is>
          <t>Despesas comerciais e administrativas do ano: 90, pagas à vi</t>
        </is>
      </c>
      <c r="N2" s="12" t="inlineStr">
        <is>
          <t>Compra à vista de uma nova prensa por 60</t>
        </is>
      </c>
      <c r="O2" s="12" t="inlineStr">
        <is>
          <t>Pagamento de 20 de juros e amortização de 50 do principal da</t>
        </is>
      </c>
      <c r="P2" s="12" t="inlineStr">
        <is>
          <t>IR e CSLL do ano: 30, pagos integralmente à vista</t>
        </is>
      </c>
      <c r="Q2" s="12" t="inlineStr">
        <is>
          <t>Dividendos de 25 declarados e pagos em dinheiro</t>
        </is>
      </c>
    </row>
    <row r="3">
      <c r="B3" s="13" t="inlineStr">
        <is>
          <t>Balanço Patrimonial</t>
        </is>
      </c>
      <c r="C3" s="13" t="inlineStr">
        <is>
          <t>Balanço Inicial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12</v>
      </c>
      <c r="P3" s="3" t="n">
        <v>13</v>
      </c>
      <c r="Q3" s="3" t="n">
        <v>14</v>
      </c>
      <c r="R3" s="13" t="inlineStr">
        <is>
          <t>Balanço Final</t>
        </is>
      </c>
    </row>
    <row r="4">
      <c r="B4" s="14" t="inlineStr">
        <is>
          <t>ATIVO</t>
        </is>
      </c>
    </row>
    <row r="5">
      <c r="B5" s="15" t="inlineStr">
        <is>
          <t>Ativo Circulante</t>
        </is>
      </c>
    </row>
    <row r="6">
      <c r="B6" t="inlineStr">
        <is>
          <t>Caixa</t>
        </is>
      </c>
      <c r="C6" s="16" t="n">
        <v>110</v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17">
        <f>C6+SUM(D6:Q6)</f>
        <v/>
      </c>
      <c r="T6" s="18">
        <f>IF(COUNT(D6:Q6)=0,"",IF(ABS(R6-Gabarito!R6)&lt;0.5,"✔","✗"))</f>
        <v/>
      </c>
    </row>
    <row r="7">
      <c r="B7" t="inlineStr">
        <is>
          <t>Contas a Receber</t>
        </is>
      </c>
      <c r="C7" s="16" t="n">
        <v>80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17">
        <f>C7+SUM(D7:Q7)</f>
        <v/>
      </c>
      <c r="T7" s="18">
        <f>IF(COUNT(D7:Q7)=0,"",IF(ABS(R7-Gabarito!R7)&lt;0.5,"✔","✗"))</f>
        <v/>
      </c>
    </row>
    <row r="8">
      <c r="B8" t="inlineStr">
        <is>
          <t>Estoque de Matéria-Prima</t>
        </is>
      </c>
      <c r="C8" s="16" t="n">
        <v>40</v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17">
        <f>C8+SUM(D8:Q8)</f>
        <v/>
      </c>
      <c r="T8" s="18">
        <f>IF(COUNT(D8:Q8)=0,"",IF(ABS(R8-Gabarito!R8)&lt;0.5,"✔","✗"))</f>
        <v/>
      </c>
    </row>
    <row r="9">
      <c r="B9" t="inlineStr">
        <is>
          <t>Produtos em Elaboração</t>
        </is>
      </c>
      <c r="C9" s="16" t="n">
        <v>20</v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17">
        <f>C9+SUM(D9:Q9)</f>
        <v/>
      </c>
      <c r="T9" s="18">
        <f>IF(COUNT(D9:Q9)=0,"",IF(ABS(R9-Gabarito!R9)&lt;0.5,"✔","✗"))</f>
        <v/>
      </c>
    </row>
    <row r="10">
      <c r="B10" t="inlineStr">
        <is>
          <t>Produtos Acabados</t>
        </is>
      </c>
      <c r="C10" s="16" t="n">
        <v>60</v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17">
        <f>C10+SUM(D10:Q10)</f>
        <v/>
      </c>
      <c r="T10" s="18">
        <f>IF(COUNT(D10:Q10)=0,"",IF(ABS(R10-Gabarito!R10)&lt;0.5,"✔","✗"))</f>
        <v/>
      </c>
    </row>
    <row r="11">
      <c r="B11" s="15" t="inlineStr">
        <is>
          <t>Ativo Não Circulante</t>
        </is>
      </c>
    </row>
    <row r="12">
      <c r="B12" t="inlineStr">
        <is>
          <t>Imobilizado</t>
        </is>
      </c>
      <c r="C12" s="16" t="n">
        <v>400</v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17">
        <f>C12+SUM(D12:Q12)</f>
        <v/>
      </c>
      <c r="T12" s="18">
        <f>IF(COUNT(D12:Q12)=0,"",IF(ABS(R12-Gabarito!R12)&lt;0.5,"✔","✗"))</f>
        <v/>
      </c>
    </row>
    <row r="13">
      <c r="B13" t="inlineStr">
        <is>
          <t>(-) Depreciação Acumulada</t>
        </is>
      </c>
      <c r="C13" s="16" t="n">
        <v>-120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17">
        <f>C13+SUM(D13:Q13)</f>
        <v/>
      </c>
      <c r="T13" s="18">
        <f>IF(COUNT(D13:Q13)=0,"",IF(ABS(R13-Gabarito!R13)&lt;0.5,"✔","✗"))</f>
        <v/>
      </c>
    </row>
    <row r="14">
      <c r="B14" s="19" t="inlineStr">
        <is>
          <t xml:space="preserve">  Total do Ativo</t>
        </is>
      </c>
      <c r="C14" s="20">
        <f>SUM(C6:C13)</f>
        <v/>
      </c>
      <c r="D14" s="20">
        <f>SUM(D6:D13)</f>
        <v/>
      </c>
      <c r="E14" s="20">
        <f>SUM(E6:E13)</f>
        <v/>
      </c>
      <c r="F14" s="20">
        <f>SUM(F6:F13)</f>
        <v/>
      </c>
      <c r="G14" s="20">
        <f>SUM(G6:G13)</f>
        <v/>
      </c>
      <c r="H14" s="20">
        <f>SUM(H6:H13)</f>
        <v/>
      </c>
      <c r="I14" s="20">
        <f>SUM(I6:I13)</f>
        <v/>
      </c>
      <c r="J14" s="20">
        <f>SUM(J6:J13)</f>
        <v/>
      </c>
      <c r="K14" s="20">
        <f>SUM(K6:K13)</f>
        <v/>
      </c>
      <c r="L14" s="20">
        <f>SUM(L6:L13)</f>
        <v/>
      </c>
      <c r="M14" s="20">
        <f>SUM(M6:M13)</f>
        <v/>
      </c>
      <c r="N14" s="20">
        <f>SUM(N6:N13)</f>
        <v/>
      </c>
      <c r="O14" s="20">
        <f>SUM(O6:O13)</f>
        <v/>
      </c>
      <c r="P14" s="20">
        <f>SUM(P6:P13)</f>
        <v/>
      </c>
      <c r="Q14" s="20">
        <f>SUM(Q6:Q13)</f>
        <v/>
      </c>
      <c r="R14" s="20">
        <f>SUM(R6:R13)</f>
        <v/>
      </c>
    </row>
    <row r="15">
      <c r="B15" s="14" t="inlineStr">
        <is>
          <t>PASSIVO E PATRIM. LÍQUIDO</t>
        </is>
      </c>
    </row>
    <row r="16">
      <c r="B16" s="15" t="inlineStr">
        <is>
          <t>Passivo Circulante:</t>
        </is>
      </c>
    </row>
    <row r="17">
      <c r="B17" t="inlineStr">
        <is>
          <t>Fornecedores</t>
        </is>
      </c>
      <c r="C17" s="16" t="n">
        <v>90</v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17">
        <f>C17+SUM(D17:Q17)</f>
        <v/>
      </c>
      <c r="T17" s="18">
        <f>IF(COUNT(D17:Q17)=0,"",IF(ABS(R17-Gabarito!R17)&lt;0.5,"✔","✗"))</f>
        <v/>
      </c>
    </row>
    <row r="18">
      <c r="B18" t="inlineStr">
        <is>
          <t>Salários a Pagar</t>
        </is>
      </c>
      <c r="C18" s="16" t="n">
        <v>20</v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17">
        <f>C18+SUM(D18:Q18)</f>
        <v/>
      </c>
      <c r="T18" s="18">
        <f>IF(COUNT(D18:Q18)=0,"",IF(ABS(R18-Gabarito!R18)&lt;0.5,"✔","✗"))</f>
        <v/>
      </c>
    </row>
    <row r="19">
      <c r="B19" t="inlineStr">
        <is>
          <t>Empréstimos</t>
        </is>
      </c>
      <c r="C19" s="16" t="n">
        <v>150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7">
        <f>C19+SUM(D19:Q19)</f>
        <v/>
      </c>
      <c r="T19" s="18">
        <f>IF(COUNT(D19:Q19)=0,"",IF(ABS(R19-Gabarito!R19)&lt;0.5,"✔","✗"))</f>
        <v/>
      </c>
    </row>
    <row r="20">
      <c r="B20" s="15" t="inlineStr">
        <is>
          <t>Patrimônio Líquido:</t>
        </is>
      </c>
    </row>
    <row r="21">
      <c r="B21" t="inlineStr">
        <is>
          <t>Capital Social</t>
        </is>
      </c>
      <c r="C21" s="16" t="n">
        <v>260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17">
        <f>C21+SUM(D21:Q21)</f>
        <v/>
      </c>
      <c r="T21" s="18">
        <f>IF(COUNT(D21:Q21)=0,"",IF(ABS(R21-Gabarito!R21)&lt;0.5,"✔","✗"))</f>
        <v/>
      </c>
    </row>
    <row r="22">
      <c r="B22" t="inlineStr">
        <is>
          <t>Lucros Acumulados</t>
        </is>
      </c>
      <c r="C22" s="16" t="n">
        <v>70</v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17">
        <f>C22+SUM(D22:Q22)</f>
        <v/>
      </c>
      <c r="T22" s="18">
        <f>IF(COUNT(D22:Q22)=0,"",IF(ABS(R22-Gabarito!R22)&lt;0.5,"✔","✗"))</f>
        <v/>
      </c>
    </row>
    <row r="23">
      <c r="B23" s="19" t="inlineStr">
        <is>
          <t>Total Passivo e Patrim. Líquido</t>
        </is>
      </c>
      <c r="C23" s="20">
        <f>SUM(C16:C22)</f>
        <v/>
      </c>
      <c r="D23" s="20">
        <f>SUM(D16:D22)</f>
        <v/>
      </c>
      <c r="E23" s="20">
        <f>SUM(E16:E22)</f>
        <v/>
      </c>
      <c r="F23" s="20">
        <f>SUM(F16:F22)</f>
        <v/>
      </c>
      <c r="G23" s="20">
        <f>SUM(G16:G22)</f>
        <v/>
      </c>
      <c r="H23" s="20">
        <f>SUM(H16:H22)</f>
        <v/>
      </c>
      <c r="I23" s="20">
        <f>SUM(I16:I22)</f>
        <v/>
      </c>
      <c r="J23" s="20">
        <f>SUM(J16:J22)</f>
        <v/>
      </c>
      <c r="K23" s="20">
        <f>SUM(K16:K22)</f>
        <v/>
      </c>
      <c r="L23" s="20">
        <f>SUM(L16:L22)</f>
        <v/>
      </c>
      <c r="M23" s="20">
        <f>SUM(M16:M22)</f>
        <v/>
      </c>
      <c r="N23" s="20">
        <f>SUM(N16:N22)</f>
        <v/>
      </c>
      <c r="O23" s="20">
        <f>SUM(O16:O22)</f>
        <v/>
      </c>
      <c r="P23" s="20">
        <f>SUM(P16:P22)</f>
        <v/>
      </c>
      <c r="Q23" s="20">
        <f>SUM(Q16:Q22)</f>
        <v/>
      </c>
      <c r="R23" s="20">
        <f>SUM(R16:R22)</f>
        <v/>
      </c>
    </row>
    <row r="25">
      <c r="B25" s="21" t="inlineStr">
        <is>
          <t>Diferença, se houver (tem que dar zero)</t>
        </is>
      </c>
      <c r="C25" s="17">
        <f>C14-C23</f>
        <v/>
      </c>
      <c r="D25" s="17">
        <f>D14-D23</f>
        <v/>
      </c>
      <c r="E25" s="17">
        <f>E14-E23</f>
        <v/>
      </c>
      <c r="F25" s="17">
        <f>F14-F23</f>
        <v/>
      </c>
      <c r="G25" s="17">
        <f>G14-G23</f>
        <v/>
      </c>
      <c r="H25" s="17">
        <f>H14-H23</f>
        <v/>
      </c>
      <c r="I25" s="17">
        <f>I14-I23</f>
        <v/>
      </c>
      <c r="J25" s="17">
        <f>J14-J23</f>
        <v/>
      </c>
      <c r="K25" s="17">
        <f>K14-K23</f>
        <v/>
      </c>
      <c r="L25" s="17">
        <f>L14-L23</f>
        <v/>
      </c>
      <c r="M25" s="17">
        <f>M14-M23</f>
        <v/>
      </c>
      <c r="N25" s="17">
        <f>N14-N23</f>
        <v/>
      </c>
      <c r="O25" s="17">
        <f>O14-O23</f>
        <v/>
      </c>
      <c r="P25" s="17">
        <f>P14-P23</f>
        <v/>
      </c>
      <c r="Q25" s="17">
        <f>Q14-Q23</f>
        <v/>
      </c>
      <c r="R25" s="17">
        <f>R14-R23</f>
        <v/>
      </c>
      <c r="T25" s="19">
        <f>IF(R25=0,"✔ fecha","✗ não fecha")</f>
        <v/>
      </c>
    </row>
    <row r="27">
      <c r="B27" s="13" t="inlineStr">
        <is>
          <t>Demonstração do Resultado</t>
        </is>
      </c>
      <c r="D27" s="3" t="n">
        <v>1</v>
      </c>
      <c r="E27" s="3" t="n">
        <v>2</v>
      </c>
      <c r="F27" s="3" t="n">
        <v>3</v>
      </c>
      <c r="G27" s="3" t="n">
        <v>4</v>
      </c>
      <c r="H27" s="3" t="n">
        <v>5</v>
      </c>
      <c r="I27" s="3" t="n">
        <v>6</v>
      </c>
      <c r="J27" s="3" t="n">
        <v>7</v>
      </c>
      <c r="K27" s="3" t="n">
        <v>8</v>
      </c>
      <c r="L27" s="3" t="n">
        <v>9</v>
      </c>
      <c r="M27" s="3" t="n">
        <v>10</v>
      </c>
      <c r="N27" s="3" t="n">
        <v>11</v>
      </c>
      <c r="O27" s="3" t="n">
        <v>12</v>
      </c>
      <c r="P27" s="3" t="n">
        <v>13</v>
      </c>
      <c r="Q27" s="3" t="n">
        <v>14</v>
      </c>
      <c r="R27" s="13" t="inlineStr">
        <is>
          <t>Ano 3</t>
        </is>
      </c>
      <c r="T27" s="22" t="inlineStr">
        <is>
          <t>Check</t>
        </is>
      </c>
    </row>
    <row r="28">
      <c r="B28" t="inlineStr">
        <is>
          <t>Receita Líquida de Vendas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17">
        <f>SUM(D28:Q28)</f>
        <v/>
      </c>
      <c r="T28" s="18">
        <f>IF(COUNT(D28:Q28)=0,"",IF(ABS(R28-Gabarito!R28)&lt;0.5,"✔","✗"))</f>
        <v/>
      </c>
    </row>
    <row r="29">
      <c r="B29" t="inlineStr">
        <is>
          <t>(-) Custo dos Produtos Vendidos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17">
        <f>SUM(D29:Q29)</f>
        <v/>
      </c>
      <c r="T29" s="18">
        <f>IF(COUNT(D29:Q29)=0,"",IF(ABS(R29-Gabarito!R29)&lt;0.5,"✔","✗"))</f>
        <v/>
      </c>
    </row>
    <row r="30">
      <c r="B30" s="19" t="inlineStr">
        <is>
          <t xml:space="preserve">     (=) Lucro Bruto</t>
        </is>
      </c>
      <c r="D30" s="20">
        <f>SUM(D28:D29)</f>
        <v/>
      </c>
      <c r="E30" s="20">
        <f>SUM(E28:E29)</f>
        <v/>
      </c>
      <c r="F30" s="20">
        <f>SUM(F28:F29)</f>
        <v/>
      </c>
      <c r="G30" s="20">
        <f>SUM(G28:G29)</f>
        <v/>
      </c>
      <c r="H30" s="20">
        <f>SUM(H28:H29)</f>
        <v/>
      </c>
      <c r="I30" s="20">
        <f>SUM(I28:I29)</f>
        <v/>
      </c>
      <c r="J30" s="20">
        <f>SUM(J28:J29)</f>
        <v/>
      </c>
      <c r="K30" s="20">
        <f>SUM(K28:K29)</f>
        <v/>
      </c>
      <c r="L30" s="20">
        <f>SUM(L28:L29)</f>
        <v/>
      </c>
      <c r="M30" s="20">
        <f>SUM(M28:M29)</f>
        <v/>
      </c>
      <c r="N30" s="20">
        <f>SUM(N28:N29)</f>
        <v/>
      </c>
      <c r="O30" s="20">
        <f>SUM(O28:O29)</f>
        <v/>
      </c>
      <c r="P30" s="20">
        <f>SUM(P28:P29)</f>
        <v/>
      </c>
      <c r="Q30" s="20">
        <f>SUM(Q28:Q29)</f>
        <v/>
      </c>
      <c r="R30" s="20">
        <f>SUM(R28:R29)</f>
        <v/>
      </c>
    </row>
    <row r="31">
      <c r="B31" t="inlineStr">
        <is>
          <t>(-) Despesas Comerciais e Administrativas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17">
        <f>SUM(D31:Q31)</f>
        <v/>
      </c>
      <c r="T31" s="18">
        <f>IF(COUNT(D31:Q31)=0,"",IF(ABS(R31-Gabarito!R31)&lt;0.5,"✔","✗"))</f>
        <v/>
      </c>
    </row>
    <row r="32">
      <c r="B32" t="inlineStr">
        <is>
          <t>(-) Depreciação (administrativa)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17">
        <f>SUM(D32:Q32)</f>
        <v/>
      </c>
      <c r="T32" s="18">
        <f>IF(COUNT(D32:Q32)=0,"",IF(ABS(R32-Gabarito!R32)&lt;0.5,"✔","✗"))</f>
        <v/>
      </c>
    </row>
    <row r="33">
      <c r="B33" s="19" t="inlineStr">
        <is>
          <t xml:space="preserve">     (=) EBIT</t>
        </is>
      </c>
      <c r="D33" s="20">
        <f>SUM(D30:D32)</f>
        <v/>
      </c>
      <c r="E33" s="20">
        <f>SUM(E30:E32)</f>
        <v/>
      </c>
      <c r="F33" s="20">
        <f>SUM(F30:F32)</f>
        <v/>
      </c>
      <c r="G33" s="20">
        <f>SUM(G30:G32)</f>
        <v/>
      </c>
      <c r="H33" s="20">
        <f>SUM(H30:H32)</f>
        <v/>
      </c>
      <c r="I33" s="20">
        <f>SUM(I30:I32)</f>
        <v/>
      </c>
      <c r="J33" s="20">
        <f>SUM(J30:J32)</f>
        <v/>
      </c>
      <c r="K33" s="20">
        <f>SUM(K30:K32)</f>
        <v/>
      </c>
      <c r="L33" s="20">
        <f>SUM(L30:L32)</f>
        <v/>
      </c>
      <c r="M33" s="20">
        <f>SUM(M30:M32)</f>
        <v/>
      </c>
      <c r="N33" s="20">
        <f>SUM(N30:N32)</f>
        <v/>
      </c>
      <c r="O33" s="20">
        <f>SUM(O30:O32)</f>
        <v/>
      </c>
      <c r="P33" s="20">
        <f>SUM(P30:P32)</f>
        <v/>
      </c>
      <c r="Q33" s="20">
        <f>SUM(Q30:Q32)</f>
        <v/>
      </c>
      <c r="R33" s="20">
        <f>SUM(R30:R32)</f>
        <v/>
      </c>
    </row>
    <row r="34">
      <c r="B34" t="inlineStr">
        <is>
          <t>(+/-) Resultado Financeiro</t>
        </is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17">
        <f>SUM(D34:Q34)</f>
        <v/>
      </c>
      <c r="T34" s="18">
        <f>IF(COUNT(D34:Q34)=0,"",IF(ABS(R34-Gabarito!R34)&lt;0.5,"✔","✗"))</f>
        <v/>
      </c>
    </row>
    <row r="35">
      <c r="B35" s="19" t="inlineStr">
        <is>
          <t xml:space="preserve">     (=) LAIR</t>
        </is>
      </c>
      <c r="D35" s="20">
        <f>SUM(D33:D34)</f>
        <v/>
      </c>
      <c r="E35" s="20">
        <f>SUM(E33:E34)</f>
        <v/>
      </c>
      <c r="F35" s="20">
        <f>SUM(F33:F34)</f>
        <v/>
      </c>
      <c r="G35" s="20">
        <f>SUM(G33:G34)</f>
        <v/>
      </c>
      <c r="H35" s="20">
        <f>SUM(H33:H34)</f>
        <v/>
      </c>
      <c r="I35" s="20">
        <f>SUM(I33:I34)</f>
        <v/>
      </c>
      <c r="J35" s="20">
        <f>SUM(J33:J34)</f>
        <v/>
      </c>
      <c r="K35" s="20">
        <f>SUM(K33:K34)</f>
        <v/>
      </c>
      <c r="L35" s="20">
        <f>SUM(L33:L34)</f>
        <v/>
      </c>
      <c r="M35" s="20">
        <f>SUM(M33:M34)</f>
        <v/>
      </c>
      <c r="N35" s="20">
        <f>SUM(N33:N34)</f>
        <v/>
      </c>
      <c r="O35" s="20">
        <f>SUM(O33:O34)</f>
        <v/>
      </c>
      <c r="P35" s="20">
        <f>SUM(P33:P34)</f>
        <v/>
      </c>
      <c r="Q35" s="20">
        <f>SUM(Q33:Q34)</f>
        <v/>
      </c>
      <c r="R35" s="20">
        <f>SUM(R33:R34)</f>
        <v/>
      </c>
    </row>
    <row r="36">
      <c r="B36" t="inlineStr">
        <is>
          <t>(-) IR e CSLL</t>
        </is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17">
        <f>SUM(D36:Q36)</f>
        <v/>
      </c>
      <c r="T36" s="18">
        <f>IF(COUNT(D36:Q36)=0,"",IF(ABS(R36-Gabarito!R36)&lt;0.5,"✔","✗"))</f>
        <v/>
      </c>
    </row>
    <row r="37">
      <c r="B37" s="19" t="inlineStr">
        <is>
          <t xml:space="preserve">     (=) Lucro Líquido</t>
        </is>
      </c>
      <c r="D37" s="20">
        <f>SUM(D35:D36)</f>
        <v/>
      </c>
      <c r="E37" s="20">
        <f>SUM(E35:E36)</f>
        <v/>
      </c>
      <c r="F37" s="20">
        <f>SUM(F35:F36)</f>
        <v/>
      </c>
      <c r="G37" s="20">
        <f>SUM(G35:G36)</f>
        <v/>
      </c>
      <c r="H37" s="20">
        <f>SUM(H35:H36)</f>
        <v/>
      </c>
      <c r="I37" s="20">
        <f>SUM(I35:I36)</f>
        <v/>
      </c>
      <c r="J37" s="20">
        <f>SUM(J35:J36)</f>
        <v/>
      </c>
      <c r="K37" s="20">
        <f>SUM(K35:K36)</f>
        <v/>
      </c>
      <c r="L37" s="20">
        <f>SUM(L35:L36)</f>
        <v/>
      </c>
      <c r="M37" s="20">
        <f>SUM(M35:M36)</f>
        <v/>
      </c>
      <c r="N37" s="20">
        <f>SUM(N35:N36)</f>
        <v/>
      </c>
      <c r="O37" s="20">
        <f>SUM(O35:O36)</f>
        <v/>
      </c>
      <c r="P37" s="20">
        <f>SUM(P35:P36)</f>
        <v/>
      </c>
      <c r="Q37" s="20">
        <f>SUM(Q35:Q36)</f>
        <v/>
      </c>
      <c r="R37" s="20">
        <f>SUM(R35:R36)</f>
        <v/>
      </c>
    </row>
    <row r="39">
      <c r="B39" s="13" t="inlineStr">
        <is>
          <t>Demonstração dos Fluxos de Caixa</t>
        </is>
      </c>
      <c r="D39" s="3" t="n">
        <v>1</v>
      </c>
      <c r="E39" s="3" t="n">
        <v>2</v>
      </c>
      <c r="F39" s="3" t="n">
        <v>3</v>
      </c>
      <c r="G39" s="3" t="n">
        <v>4</v>
      </c>
      <c r="H39" s="3" t="n">
        <v>5</v>
      </c>
      <c r="I39" s="3" t="n">
        <v>6</v>
      </c>
      <c r="J39" s="3" t="n">
        <v>7</v>
      </c>
      <c r="K39" s="3" t="n">
        <v>8</v>
      </c>
      <c r="L39" s="3" t="n">
        <v>9</v>
      </c>
      <c r="M39" s="3" t="n">
        <v>10</v>
      </c>
      <c r="N39" s="3" t="n">
        <v>11</v>
      </c>
      <c r="O39" s="3" t="n">
        <v>12</v>
      </c>
      <c r="P39" s="3" t="n">
        <v>13</v>
      </c>
      <c r="Q39" s="3" t="n">
        <v>14</v>
      </c>
      <c r="R39" s="13" t="inlineStr">
        <is>
          <t>Ano 3</t>
        </is>
      </c>
    </row>
    <row r="40">
      <c r="B40" s="19" t="inlineStr">
        <is>
          <t>OPERAÇÕES</t>
        </is>
      </c>
      <c r="D40" s="20">
        <f>SUM(D41:D46)</f>
        <v/>
      </c>
      <c r="E40" s="20">
        <f>SUM(E41:E46)</f>
        <v/>
      </c>
      <c r="F40" s="20">
        <f>SUM(F41:F46)</f>
        <v/>
      </c>
      <c r="G40" s="20">
        <f>SUM(G41:G46)</f>
        <v/>
      </c>
      <c r="H40" s="20">
        <f>SUM(H41:H46)</f>
        <v/>
      </c>
      <c r="I40" s="20">
        <f>SUM(I41:I46)</f>
        <v/>
      </c>
      <c r="J40" s="20">
        <f>SUM(J41:J46)</f>
        <v/>
      </c>
      <c r="K40" s="20">
        <f>SUM(K41:K46)</f>
        <v/>
      </c>
      <c r="L40" s="20">
        <f>SUM(L41:L46)</f>
        <v/>
      </c>
      <c r="M40" s="20">
        <f>SUM(M41:M46)</f>
        <v/>
      </c>
      <c r="N40" s="20">
        <f>SUM(N41:N46)</f>
        <v/>
      </c>
      <c r="O40" s="20">
        <f>SUM(O41:O46)</f>
        <v/>
      </c>
      <c r="P40" s="20">
        <f>SUM(P41:P46)</f>
        <v/>
      </c>
      <c r="Q40" s="20">
        <f>SUM(Q41:Q46)</f>
        <v/>
      </c>
      <c r="R40" s="20">
        <f>SUM(R41:R46)</f>
        <v/>
      </c>
    </row>
    <row r="41">
      <c r="B41" t="inlineStr">
        <is>
          <t>Recebimentos de Clientes</t>
        </is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17">
        <f>SUM(D41:Q41)</f>
        <v/>
      </c>
      <c r="T41" s="18">
        <f>IF(COUNT(D41:Q41)=0,"",IF(ABS(R41-Gabarito!R41)&lt;0.5,"✔","✗"))</f>
        <v/>
      </c>
    </row>
    <row r="42">
      <c r="B42" t="inlineStr">
        <is>
          <t>Pagamentos a Fornecedores</t>
        </is>
      </c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17">
        <f>SUM(D42:Q42)</f>
        <v/>
      </c>
      <c r="T42" s="18">
        <f>IF(COUNT(D42:Q42)=0,"",IF(ABS(R42-Gabarito!R42)&lt;0.5,"✔","✗"))</f>
        <v/>
      </c>
    </row>
    <row r="43">
      <c r="B43" t="inlineStr">
        <is>
          <t>Pagamentos de Salários</t>
        </is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>
        <f>SUM(D43:Q43)</f>
        <v/>
      </c>
      <c r="T43" s="18">
        <f>IF(COUNT(D43:Q43)=0,"",IF(ABS(R43-Gabarito!R43)&lt;0.5,"✔","✗"))</f>
        <v/>
      </c>
    </row>
    <row r="44">
      <c r="B44" t="inlineStr">
        <is>
          <t>Pagamentos de Despesas</t>
        </is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>
        <f>SUM(D44:Q44)</f>
        <v/>
      </c>
      <c r="T44" s="18">
        <f>IF(COUNT(D44:Q44)=0,"",IF(ABS(R44-Gabarito!R44)&lt;0.5,"✔","✗"))</f>
        <v/>
      </c>
    </row>
    <row r="45">
      <c r="B45" t="inlineStr">
        <is>
          <t>Juros Pagos</t>
        </is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>
        <f>SUM(D45:Q45)</f>
        <v/>
      </c>
      <c r="T45" s="18">
        <f>IF(COUNT(D45:Q45)=0,"",IF(ABS(R45-Gabarito!R45)&lt;0.5,"✔","✗"))</f>
        <v/>
      </c>
    </row>
    <row r="46">
      <c r="B46" t="inlineStr">
        <is>
          <t>IR Pago</t>
        </is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17">
        <f>SUM(D46:Q46)</f>
        <v/>
      </c>
      <c r="T46" s="18">
        <f>IF(COUNT(D46:Q46)=0,"",IF(ABS(R46-Gabarito!R46)&lt;0.5,"✔","✗"))</f>
        <v/>
      </c>
    </row>
    <row r="47">
      <c r="B47" s="19" t="inlineStr">
        <is>
          <t>INVESTIMENTOS</t>
        </is>
      </c>
      <c r="D47" s="20">
        <f>SUM(D48:D48)</f>
        <v/>
      </c>
      <c r="E47" s="20">
        <f>SUM(E48:E48)</f>
        <v/>
      </c>
      <c r="F47" s="20">
        <f>SUM(F48:F48)</f>
        <v/>
      </c>
      <c r="G47" s="20">
        <f>SUM(G48:G48)</f>
        <v/>
      </c>
      <c r="H47" s="20">
        <f>SUM(H48:H48)</f>
        <v/>
      </c>
      <c r="I47" s="20">
        <f>SUM(I48:I48)</f>
        <v/>
      </c>
      <c r="J47" s="20">
        <f>SUM(J48:J48)</f>
        <v/>
      </c>
      <c r="K47" s="20">
        <f>SUM(K48:K48)</f>
        <v/>
      </c>
      <c r="L47" s="20">
        <f>SUM(L48:L48)</f>
        <v/>
      </c>
      <c r="M47" s="20">
        <f>SUM(M48:M48)</f>
        <v/>
      </c>
      <c r="N47" s="20">
        <f>SUM(N48:N48)</f>
        <v/>
      </c>
      <c r="O47" s="20">
        <f>SUM(O48:O48)</f>
        <v/>
      </c>
      <c r="P47" s="20">
        <f>SUM(P48:P48)</f>
        <v/>
      </c>
      <c r="Q47" s="20">
        <f>SUM(Q48:Q48)</f>
        <v/>
      </c>
      <c r="R47" s="20">
        <f>SUM(R48:R48)</f>
        <v/>
      </c>
    </row>
    <row r="48">
      <c r="B48" t="inlineStr">
        <is>
          <t>Aquisição de Imobilizado</t>
        </is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17">
        <f>SUM(D48:Q48)</f>
        <v/>
      </c>
      <c r="T48" s="18">
        <f>IF(COUNT(D48:Q48)=0,"",IF(ABS(R48-Gabarito!R48)&lt;0.5,"✔","✗"))</f>
        <v/>
      </c>
    </row>
    <row r="49">
      <c r="B49" s="19" t="inlineStr">
        <is>
          <t>FINANCIAMENTOS</t>
        </is>
      </c>
      <c r="D49" s="20">
        <f>SUM(D50:D51)</f>
        <v/>
      </c>
      <c r="E49" s="20">
        <f>SUM(E50:E51)</f>
        <v/>
      </c>
      <c r="F49" s="20">
        <f>SUM(F50:F51)</f>
        <v/>
      </c>
      <c r="G49" s="20">
        <f>SUM(G50:G51)</f>
        <v/>
      </c>
      <c r="H49" s="20">
        <f>SUM(H50:H51)</f>
        <v/>
      </c>
      <c r="I49" s="20">
        <f>SUM(I50:I51)</f>
        <v/>
      </c>
      <c r="J49" s="20">
        <f>SUM(J50:J51)</f>
        <v/>
      </c>
      <c r="K49" s="20">
        <f>SUM(K50:K51)</f>
        <v/>
      </c>
      <c r="L49" s="20">
        <f>SUM(L50:L51)</f>
        <v/>
      </c>
      <c r="M49" s="20">
        <f>SUM(M50:M51)</f>
        <v/>
      </c>
      <c r="N49" s="20">
        <f>SUM(N50:N51)</f>
        <v/>
      </c>
      <c r="O49" s="20">
        <f>SUM(O50:O51)</f>
        <v/>
      </c>
      <c r="P49" s="20">
        <f>SUM(P50:P51)</f>
        <v/>
      </c>
      <c r="Q49" s="20">
        <f>SUM(Q50:Q51)</f>
        <v/>
      </c>
      <c r="R49" s="20">
        <f>SUM(R50:R51)</f>
        <v/>
      </c>
    </row>
    <row r="50">
      <c r="B50" t="inlineStr">
        <is>
          <t>Amortização de Empréstimos</t>
        </is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17">
        <f>SUM(D50:Q50)</f>
        <v/>
      </c>
      <c r="T50" s="18">
        <f>IF(COUNT(D50:Q50)=0,"",IF(ABS(R50-Gabarito!R50)&lt;0.5,"✔","✗"))</f>
        <v/>
      </c>
    </row>
    <row r="51">
      <c r="B51" t="inlineStr">
        <is>
          <t>Dividendos Pagos</t>
        </is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17">
        <f>SUM(D51:Q51)</f>
        <v/>
      </c>
      <c r="T51" s="18">
        <f>IF(COUNT(D51:Q51)=0,"",IF(ABS(R51-Gabarito!R51)&lt;0.5,"✔","✗"))</f>
        <v/>
      </c>
    </row>
    <row r="52">
      <c r="B52" s="19" t="inlineStr">
        <is>
          <t>VARIAÇÃO NO CAIXA</t>
        </is>
      </c>
      <c r="D52" s="20">
        <f>D40+D47+D49</f>
        <v/>
      </c>
      <c r="E52" s="20">
        <f>E40+E47+E49</f>
        <v/>
      </c>
      <c r="F52" s="20">
        <f>F40+F47+F49</f>
        <v/>
      </c>
      <c r="G52" s="20">
        <f>G40+G47+G49</f>
        <v/>
      </c>
      <c r="H52" s="20">
        <f>H40+H47+H49</f>
        <v/>
      </c>
      <c r="I52" s="20">
        <f>I40+I47+I49</f>
        <v/>
      </c>
      <c r="J52" s="20">
        <f>J40+J47+J49</f>
        <v/>
      </c>
      <c r="K52" s="20">
        <f>K40+K47+K49</f>
        <v/>
      </c>
      <c r="L52" s="20">
        <f>L40+L47+L49</f>
        <v/>
      </c>
      <c r="M52" s="20">
        <f>M40+M47+M49</f>
        <v/>
      </c>
      <c r="N52" s="20">
        <f>N40+N47+N49</f>
        <v/>
      </c>
      <c r="O52" s="20">
        <f>O40+O47+O49</f>
        <v/>
      </c>
      <c r="P52" s="20">
        <f>P40+P47+P49</f>
        <v/>
      </c>
      <c r="Q52" s="20">
        <f>Q40+Q47+Q49</f>
        <v/>
      </c>
      <c r="R52" s="20">
        <f>R40+R47+R49</f>
        <v/>
      </c>
    </row>
    <row r="53">
      <c r="B53" t="inlineStr">
        <is>
          <t xml:space="preserve">    Saldo inicial de caixa</t>
        </is>
      </c>
      <c r="R53" s="16" t="n">
        <v>110</v>
      </c>
    </row>
    <row r="54">
      <c r="B54" s="19" t="inlineStr">
        <is>
          <t xml:space="preserve">    Saldo final de caixa</t>
        </is>
      </c>
      <c r="R54" s="17">
        <f>R53+R52</f>
        <v/>
      </c>
    </row>
    <row r="56">
      <c r="B56" s="21" t="inlineStr">
        <is>
          <t>Caixa final da DFC menos Caixa do BP (tem que dar zero)</t>
        </is>
      </c>
      <c r="R56" s="17">
        <f>R54-R6</f>
        <v/>
      </c>
      <c r="T56" s="19">
        <f>IF(R56=0,"✔ amarra","✗ não amarra")</f>
        <v/>
      </c>
    </row>
    <row r="58">
      <c r="B58" s="13" t="inlineStr">
        <is>
          <t>Indicadores (automáticos)</t>
        </is>
      </c>
    </row>
    <row r="59">
      <c r="B59" t="inlineStr">
        <is>
          <t>Margem bruta</t>
        </is>
      </c>
      <c r="R59" s="23">
        <f>IF(R28=0,"",R30/R28)</f>
        <v/>
      </c>
    </row>
    <row r="60">
      <c r="B60" t="inlineStr">
        <is>
          <t>Margem líquida</t>
        </is>
      </c>
      <c r="R60" s="23">
        <f>IF(R28=0,"",R37/R28)</f>
        <v/>
      </c>
    </row>
    <row r="61">
      <c r="B61" t="inlineStr">
        <is>
          <t>% financiado por capital próprio (PL / Ativo)</t>
        </is>
      </c>
      <c r="R61" s="23">
        <f>IF(R14=0,"",SUM(R21:R22)/R14)</f>
        <v/>
      </c>
    </row>
    <row r="62">
      <c r="B62" t="inlineStr">
        <is>
          <t>ROE (LL / PL final)</t>
        </is>
      </c>
      <c r="R62" s="23">
        <f>IF(SUM(R21:R22)=0,"",R37/SUM(R21:R22))</f>
        <v/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T6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3" customWidth="1" min="19" max="19"/>
    <col width="13" customWidth="1" min="20" max="20"/>
  </cols>
  <sheetData>
    <row r="1">
      <c r="B1" s="1" t="inlineStr">
        <is>
          <t>Metalúrgica Pilar S.A.</t>
        </is>
      </c>
      <c r="D1" s="11" t="inlineStr">
        <is>
          <t>Transações, por Número e Descrição</t>
        </is>
      </c>
    </row>
    <row r="2" ht="42" customHeight="1">
      <c r="B2" s="2" t="inlineStr">
        <is>
          <t>Ano 3  |  valores em R$ mil</t>
        </is>
      </c>
      <c r="D2" s="12" t="inlineStr">
        <is>
          <t>Compra de matéria-prima por 260, sendo 60 à vista e 200 a pr</t>
        </is>
      </c>
      <c r="E2" s="12" t="inlineStr">
        <is>
          <t>Requisição de 250 de matéria-prima para a linha de produção</t>
        </is>
      </c>
      <c r="F2" s="12" t="inlineStr">
        <is>
          <t>Folha da fábrica do ano, 180, apropriada ao custo de produçã</t>
        </is>
      </c>
      <c r="G2" s="12" t="inlineStr">
        <is>
          <t>Pagamento de salários: 190 em dinheiro, incluindo os 20 devi</t>
        </is>
      </c>
      <c r="H2" s="12" t="inlineStr">
        <is>
          <t>Depreciação do ano: 40, sendo 30 das máquinas da fábrica e 1</t>
        </is>
      </c>
      <c r="I2" s="12" t="inlineStr">
        <is>
          <t>Produção concluída no ano e transferida para produtos acabad</t>
        </is>
      </c>
      <c r="J2" s="12" t="inlineStr">
        <is>
          <t>Vendas do ano: 700, sendo 450 à vista e 250 a prazo; o custo</t>
        </is>
      </c>
      <c r="K2" s="12" t="inlineStr">
        <is>
          <t>Recebimento de 210 de clientes, referente a vendas de anos a</t>
        </is>
      </c>
      <c r="L2" s="12" t="inlineStr">
        <is>
          <t>Pagamento de 230 a fornecedores</t>
        </is>
      </c>
      <c r="M2" s="12" t="inlineStr">
        <is>
          <t>Despesas comerciais e administrativas do ano: 90, pagas à vi</t>
        </is>
      </c>
      <c r="N2" s="12" t="inlineStr">
        <is>
          <t>Compra à vista de uma nova prensa por 60</t>
        </is>
      </c>
      <c r="O2" s="12" t="inlineStr">
        <is>
          <t>Pagamento de 20 de juros e amortização de 50 do principal da</t>
        </is>
      </c>
      <c r="P2" s="12" t="inlineStr">
        <is>
          <t>IR e CSLL do ano: 30, pagos integralmente à vista</t>
        </is>
      </c>
      <c r="Q2" s="12" t="inlineStr">
        <is>
          <t>Dividendos de 25 declarados e pagos em dinheiro</t>
        </is>
      </c>
    </row>
    <row r="3">
      <c r="B3" s="13" t="inlineStr">
        <is>
          <t>Balanço Patrimonial</t>
        </is>
      </c>
      <c r="C3" s="13" t="inlineStr">
        <is>
          <t>Balanço Inicial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12</v>
      </c>
      <c r="P3" s="3" t="n">
        <v>13</v>
      </c>
      <c r="Q3" s="3" t="n">
        <v>14</v>
      </c>
      <c r="R3" s="13" t="inlineStr">
        <is>
          <t>Balanço Final</t>
        </is>
      </c>
    </row>
    <row r="4">
      <c r="B4" s="14" t="inlineStr">
        <is>
          <t>ATIVO</t>
        </is>
      </c>
    </row>
    <row r="5">
      <c r="B5" s="15" t="inlineStr">
        <is>
          <t>Ativo Circulante</t>
        </is>
      </c>
    </row>
    <row r="6">
      <c r="B6" t="inlineStr">
        <is>
          <t>Caixa</t>
        </is>
      </c>
      <c r="C6" s="16" t="n">
        <v>110</v>
      </c>
      <c r="D6" s="9" t="n">
        <v>-60</v>
      </c>
      <c r="E6" s="9" t="n"/>
      <c r="F6" s="9" t="n"/>
      <c r="G6" s="9" t="n">
        <v>-190</v>
      </c>
      <c r="H6" s="9" t="n"/>
      <c r="I6" s="9" t="n"/>
      <c r="J6" s="9" t="n">
        <v>450</v>
      </c>
      <c r="K6" s="9" t="n">
        <v>210</v>
      </c>
      <c r="L6" s="9" t="n">
        <v>-230</v>
      </c>
      <c r="M6" s="9" t="n">
        <v>-90</v>
      </c>
      <c r="N6" s="9" t="n">
        <v>-60</v>
      </c>
      <c r="O6" s="9" t="n">
        <v>-70</v>
      </c>
      <c r="P6" s="9" t="n">
        <v>-30</v>
      </c>
      <c r="Q6" s="9" t="n">
        <v>-25</v>
      </c>
      <c r="R6" s="17">
        <f>C6+SUM(D6:Q6)</f>
        <v/>
      </c>
    </row>
    <row r="7">
      <c r="B7" t="inlineStr">
        <is>
          <t>Contas a Receber</t>
        </is>
      </c>
      <c r="C7" s="16" t="n">
        <v>80</v>
      </c>
      <c r="D7" s="9" t="n"/>
      <c r="E7" s="9" t="n"/>
      <c r="F7" s="9" t="n"/>
      <c r="G7" s="9" t="n"/>
      <c r="H7" s="9" t="n"/>
      <c r="I7" s="9" t="n"/>
      <c r="J7" s="9" t="n">
        <v>250</v>
      </c>
      <c r="K7" s="9" t="n">
        <v>-210</v>
      </c>
      <c r="L7" s="9" t="n"/>
      <c r="M7" s="9" t="n"/>
      <c r="N7" s="9" t="n"/>
      <c r="O7" s="9" t="n"/>
      <c r="P7" s="9" t="n"/>
      <c r="Q7" s="9" t="n"/>
      <c r="R7" s="17">
        <f>C7+SUM(D7:Q7)</f>
        <v/>
      </c>
    </row>
    <row r="8">
      <c r="B8" t="inlineStr">
        <is>
          <t>Estoque de Matéria-Prima</t>
        </is>
      </c>
      <c r="C8" s="16" t="n">
        <v>40</v>
      </c>
      <c r="D8" s="9" t="n">
        <v>260</v>
      </c>
      <c r="E8" s="9" t="n">
        <v>-250</v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17">
        <f>C8+SUM(D8:Q8)</f>
        <v/>
      </c>
    </row>
    <row r="9">
      <c r="B9" t="inlineStr">
        <is>
          <t>Produtos em Elaboração</t>
        </is>
      </c>
      <c r="C9" s="16" t="n">
        <v>20</v>
      </c>
      <c r="D9" s="9" t="n"/>
      <c r="E9" s="9" t="n">
        <v>250</v>
      </c>
      <c r="F9" s="9" t="n">
        <v>180</v>
      </c>
      <c r="G9" s="9" t="n"/>
      <c r="H9" s="9" t="n">
        <v>30</v>
      </c>
      <c r="I9" s="9" t="n">
        <v>-470</v>
      </c>
      <c r="J9" s="9" t="n"/>
      <c r="K9" s="9" t="n"/>
      <c r="L9" s="9" t="n"/>
      <c r="M9" s="9" t="n"/>
      <c r="N9" s="9" t="n"/>
      <c r="O9" s="9" t="n"/>
      <c r="P9" s="9" t="n"/>
      <c r="Q9" s="9" t="n"/>
      <c r="R9" s="17">
        <f>C9+SUM(D9:Q9)</f>
        <v/>
      </c>
    </row>
    <row r="10">
      <c r="B10" t="inlineStr">
        <is>
          <t>Produtos Acabados</t>
        </is>
      </c>
      <c r="C10" s="16" t="n">
        <v>60</v>
      </c>
      <c r="D10" s="9" t="n"/>
      <c r="E10" s="9" t="n"/>
      <c r="F10" s="9" t="n"/>
      <c r="G10" s="9" t="n"/>
      <c r="H10" s="9" t="n"/>
      <c r="I10" s="9" t="n">
        <v>470</v>
      </c>
      <c r="J10" s="9" t="n">
        <v>-480</v>
      </c>
      <c r="K10" s="9" t="n"/>
      <c r="L10" s="9" t="n"/>
      <c r="M10" s="9" t="n"/>
      <c r="N10" s="9" t="n"/>
      <c r="O10" s="9" t="n"/>
      <c r="P10" s="9" t="n"/>
      <c r="Q10" s="9" t="n"/>
      <c r="R10" s="17">
        <f>C10+SUM(D10:Q10)</f>
        <v/>
      </c>
    </row>
    <row r="11">
      <c r="B11" s="15" t="inlineStr">
        <is>
          <t>Ativo Não Circulante</t>
        </is>
      </c>
    </row>
    <row r="12">
      <c r="B12" t="inlineStr">
        <is>
          <t>Imobilizado</t>
        </is>
      </c>
      <c r="C12" s="16" t="n">
        <v>400</v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>
        <v>60</v>
      </c>
      <c r="O12" s="9" t="n"/>
      <c r="P12" s="9" t="n"/>
      <c r="Q12" s="9" t="n"/>
      <c r="R12" s="17">
        <f>C12+SUM(D12:Q12)</f>
        <v/>
      </c>
    </row>
    <row r="13">
      <c r="B13" t="inlineStr">
        <is>
          <t>(-) Depreciação Acumulada</t>
        </is>
      </c>
      <c r="C13" s="16" t="n">
        <v>-120</v>
      </c>
      <c r="D13" s="9" t="n"/>
      <c r="E13" s="9" t="n"/>
      <c r="F13" s="9" t="n"/>
      <c r="G13" s="9" t="n"/>
      <c r="H13" s="9" t="n">
        <v>-40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17">
        <f>C13+SUM(D13:Q13)</f>
        <v/>
      </c>
    </row>
    <row r="14">
      <c r="B14" s="19" t="inlineStr">
        <is>
          <t xml:space="preserve">  Total do Ativo</t>
        </is>
      </c>
      <c r="C14" s="20">
        <f>SUM(C6:C13)</f>
        <v/>
      </c>
      <c r="D14" s="20">
        <f>SUM(D6:D13)</f>
        <v/>
      </c>
      <c r="E14" s="20">
        <f>SUM(E6:E13)</f>
        <v/>
      </c>
      <c r="F14" s="20">
        <f>SUM(F6:F13)</f>
        <v/>
      </c>
      <c r="G14" s="20">
        <f>SUM(G6:G13)</f>
        <v/>
      </c>
      <c r="H14" s="20">
        <f>SUM(H6:H13)</f>
        <v/>
      </c>
      <c r="I14" s="20">
        <f>SUM(I6:I13)</f>
        <v/>
      </c>
      <c r="J14" s="20">
        <f>SUM(J6:J13)</f>
        <v/>
      </c>
      <c r="K14" s="20">
        <f>SUM(K6:K13)</f>
        <v/>
      </c>
      <c r="L14" s="20">
        <f>SUM(L6:L13)</f>
        <v/>
      </c>
      <c r="M14" s="20">
        <f>SUM(M6:M13)</f>
        <v/>
      </c>
      <c r="N14" s="20">
        <f>SUM(N6:N13)</f>
        <v/>
      </c>
      <c r="O14" s="20">
        <f>SUM(O6:O13)</f>
        <v/>
      </c>
      <c r="P14" s="20">
        <f>SUM(P6:P13)</f>
        <v/>
      </c>
      <c r="Q14" s="20">
        <f>SUM(Q6:Q13)</f>
        <v/>
      </c>
      <c r="R14" s="20">
        <f>SUM(R6:R13)</f>
        <v/>
      </c>
    </row>
    <row r="15">
      <c r="B15" s="14" t="inlineStr">
        <is>
          <t>PASSIVO E PATRIM. LÍQUIDO</t>
        </is>
      </c>
    </row>
    <row r="16">
      <c r="B16" s="15" t="inlineStr">
        <is>
          <t>Passivo Circulante:</t>
        </is>
      </c>
    </row>
    <row r="17">
      <c r="B17" t="inlineStr">
        <is>
          <t>Fornecedores</t>
        </is>
      </c>
      <c r="C17" s="16" t="n">
        <v>90</v>
      </c>
      <c r="D17" s="9" t="n">
        <v>200</v>
      </c>
      <c r="E17" s="9" t="n"/>
      <c r="F17" s="9" t="n"/>
      <c r="G17" s="9" t="n"/>
      <c r="H17" s="9" t="n"/>
      <c r="I17" s="9" t="n"/>
      <c r="J17" s="9" t="n"/>
      <c r="K17" s="9" t="n"/>
      <c r="L17" s="9" t="n">
        <v>-230</v>
      </c>
      <c r="M17" s="9" t="n"/>
      <c r="N17" s="9" t="n"/>
      <c r="O17" s="9" t="n"/>
      <c r="P17" s="9" t="n"/>
      <c r="Q17" s="9" t="n"/>
      <c r="R17" s="17">
        <f>C17+SUM(D17:Q17)</f>
        <v/>
      </c>
    </row>
    <row r="18">
      <c r="B18" t="inlineStr">
        <is>
          <t>Salários a Pagar</t>
        </is>
      </c>
      <c r="C18" s="16" t="n">
        <v>20</v>
      </c>
      <c r="D18" s="9" t="n"/>
      <c r="E18" s="9" t="n"/>
      <c r="F18" s="9" t="n">
        <v>180</v>
      </c>
      <c r="G18" s="9" t="n">
        <v>-190</v>
      </c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17">
        <f>C18+SUM(D18:Q18)</f>
        <v/>
      </c>
    </row>
    <row r="19">
      <c r="B19" t="inlineStr">
        <is>
          <t>Empréstimos</t>
        </is>
      </c>
      <c r="C19" s="16" t="n">
        <v>150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>
        <v>-50</v>
      </c>
      <c r="P19" s="9" t="n"/>
      <c r="Q19" s="9" t="n"/>
      <c r="R19" s="17">
        <f>C19+SUM(D19:Q19)</f>
        <v/>
      </c>
    </row>
    <row r="20">
      <c r="B20" s="15" t="inlineStr">
        <is>
          <t>Patrimônio Líquido:</t>
        </is>
      </c>
    </row>
    <row r="21">
      <c r="B21" t="inlineStr">
        <is>
          <t>Capital Social</t>
        </is>
      </c>
      <c r="C21" s="16" t="n">
        <v>260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17">
        <f>C21+SUM(D21:Q21)</f>
        <v/>
      </c>
    </row>
    <row r="22">
      <c r="B22" t="inlineStr">
        <is>
          <t>Lucros Acumulados</t>
        </is>
      </c>
      <c r="C22" s="16" t="n">
        <v>70</v>
      </c>
      <c r="D22" s="9" t="n"/>
      <c r="E22" s="9" t="n"/>
      <c r="F22" s="9" t="n"/>
      <c r="G22" s="9" t="n"/>
      <c r="H22" s="9" t="n">
        <v>-10</v>
      </c>
      <c r="I22" s="9" t="n"/>
      <c r="J22" s="9" t="n">
        <v>220</v>
      </c>
      <c r="K22" s="9" t="n"/>
      <c r="L22" s="9" t="n"/>
      <c r="M22" s="9" t="n">
        <v>-90</v>
      </c>
      <c r="N22" s="9" t="n"/>
      <c r="O22" s="9" t="n">
        <v>-20</v>
      </c>
      <c r="P22" s="9" t="n">
        <v>-30</v>
      </c>
      <c r="Q22" s="9" t="n">
        <v>-25</v>
      </c>
      <c r="R22" s="17">
        <f>C22+SUM(D22:Q22)</f>
        <v/>
      </c>
    </row>
    <row r="23">
      <c r="B23" s="19" t="inlineStr">
        <is>
          <t>Total Passivo e Patrim. Líquido</t>
        </is>
      </c>
      <c r="C23" s="20">
        <f>SUM(C16:C22)</f>
        <v/>
      </c>
      <c r="D23" s="20">
        <f>SUM(D16:D22)</f>
        <v/>
      </c>
      <c r="E23" s="20">
        <f>SUM(E16:E22)</f>
        <v/>
      </c>
      <c r="F23" s="20">
        <f>SUM(F16:F22)</f>
        <v/>
      </c>
      <c r="G23" s="20">
        <f>SUM(G16:G22)</f>
        <v/>
      </c>
      <c r="H23" s="20">
        <f>SUM(H16:H22)</f>
        <v/>
      </c>
      <c r="I23" s="20">
        <f>SUM(I16:I22)</f>
        <v/>
      </c>
      <c r="J23" s="20">
        <f>SUM(J16:J22)</f>
        <v/>
      </c>
      <c r="K23" s="20">
        <f>SUM(K16:K22)</f>
        <v/>
      </c>
      <c r="L23" s="20">
        <f>SUM(L16:L22)</f>
        <v/>
      </c>
      <c r="M23" s="20">
        <f>SUM(M16:M22)</f>
        <v/>
      </c>
      <c r="N23" s="20">
        <f>SUM(N16:N22)</f>
        <v/>
      </c>
      <c r="O23" s="20">
        <f>SUM(O16:O22)</f>
        <v/>
      </c>
      <c r="P23" s="20">
        <f>SUM(P16:P22)</f>
        <v/>
      </c>
      <c r="Q23" s="20">
        <f>SUM(Q16:Q22)</f>
        <v/>
      </c>
      <c r="R23" s="20">
        <f>SUM(R16:R22)</f>
        <v/>
      </c>
    </row>
    <row r="25">
      <c r="B25" s="21" t="inlineStr">
        <is>
          <t>Diferença, se houver (tem que dar zero)</t>
        </is>
      </c>
      <c r="C25" s="17">
        <f>C14-C23</f>
        <v/>
      </c>
      <c r="D25" s="17">
        <f>D14-D23</f>
        <v/>
      </c>
      <c r="E25" s="17">
        <f>E14-E23</f>
        <v/>
      </c>
      <c r="F25" s="17">
        <f>F14-F23</f>
        <v/>
      </c>
      <c r="G25" s="17">
        <f>G14-G23</f>
        <v/>
      </c>
      <c r="H25" s="17">
        <f>H14-H23</f>
        <v/>
      </c>
      <c r="I25" s="17">
        <f>I14-I23</f>
        <v/>
      </c>
      <c r="J25" s="17">
        <f>J14-J23</f>
        <v/>
      </c>
      <c r="K25" s="17">
        <f>K14-K23</f>
        <v/>
      </c>
      <c r="L25" s="17">
        <f>L14-L23</f>
        <v/>
      </c>
      <c r="M25" s="17">
        <f>M14-M23</f>
        <v/>
      </c>
      <c r="N25" s="17">
        <f>N14-N23</f>
        <v/>
      </c>
      <c r="O25" s="17">
        <f>O14-O23</f>
        <v/>
      </c>
      <c r="P25" s="17">
        <f>P14-P23</f>
        <v/>
      </c>
      <c r="Q25" s="17">
        <f>Q14-Q23</f>
        <v/>
      </c>
      <c r="R25" s="17">
        <f>R14-R23</f>
        <v/>
      </c>
    </row>
    <row r="27">
      <c r="B27" s="13" t="inlineStr">
        <is>
          <t>Demonstração do Resultado</t>
        </is>
      </c>
      <c r="D27" s="3" t="n">
        <v>1</v>
      </c>
      <c r="E27" s="3" t="n">
        <v>2</v>
      </c>
      <c r="F27" s="3" t="n">
        <v>3</v>
      </c>
      <c r="G27" s="3" t="n">
        <v>4</v>
      </c>
      <c r="H27" s="3" t="n">
        <v>5</v>
      </c>
      <c r="I27" s="3" t="n">
        <v>6</v>
      </c>
      <c r="J27" s="3" t="n">
        <v>7</v>
      </c>
      <c r="K27" s="3" t="n">
        <v>8</v>
      </c>
      <c r="L27" s="3" t="n">
        <v>9</v>
      </c>
      <c r="M27" s="3" t="n">
        <v>10</v>
      </c>
      <c r="N27" s="3" t="n">
        <v>11</v>
      </c>
      <c r="O27" s="3" t="n">
        <v>12</v>
      </c>
      <c r="P27" s="3" t="n">
        <v>13</v>
      </c>
      <c r="Q27" s="3" t="n">
        <v>14</v>
      </c>
      <c r="R27" s="13" t="inlineStr">
        <is>
          <t>Ano 3</t>
        </is>
      </c>
      <c r="T27" s="22" t="inlineStr">
        <is>
          <t>Check</t>
        </is>
      </c>
    </row>
    <row r="28">
      <c r="B28" t="inlineStr">
        <is>
          <t>Receita Líquida de Vendas</t>
        </is>
      </c>
      <c r="D28" s="9" t="n"/>
      <c r="E28" s="9" t="n"/>
      <c r="F28" s="9" t="n"/>
      <c r="G28" s="9" t="n"/>
      <c r="H28" s="9" t="n"/>
      <c r="I28" s="9" t="n"/>
      <c r="J28" s="9" t="n">
        <v>700</v>
      </c>
      <c r="K28" s="9" t="n"/>
      <c r="L28" s="9" t="n"/>
      <c r="M28" s="9" t="n"/>
      <c r="N28" s="9" t="n"/>
      <c r="O28" s="9" t="n"/>
      <c r="P28" s="9" t="n"/>
      <c r="Q28" s="9" t="n"/>
      <c r="R28" s="17">
        <f>SUM(D28:Q28)</f>
        <v/>
      </c>
    </row>
    <row r="29">
      <c r="B29" t="inlineStr">
        <is>
          <t>(-) Custo dos Produtos Vendidos</t>
        </is>
      </c>
      <c r="D29" s="9" t="n"/>
      <c r="E29" s="9" t="n"/>
      <c r="F29" s="9" t="n"/>
      <c r="G29" s="9" t="n"/>
      <c r="H29" s="9" t="n"/>
      <c r="I29" s="9" t="n"/>
      <c r="J29" s="9" t="n">
        <v>-480</v>
      </c>
      <c r="K29" s="9" t="n"/>
      <c r="L29" s="9" t="n"/>
      <c r="M29" s="9" t="n"/>
      <c r="N29" s="9" t="n"/>
      <c r="O29" s="9" t="n"/>
      <c r="P29" s="9" t="n"/>
      <c r="Q29" s="9" t="n"/>
      <c r="R29" s="17">
        <f>SUM(D29:Q29)</f>
        <v/>
      </c>
    </row>
    <row r="30">
      <c r="B30" s="19" t="inlineStr">
        <is>
          <t xml:space="preserve">     (=) Lucro Bruto</t>
        </is>
      </c>
      <c r="D30" s="20">
        <f>SUM(D28:D29)</f>
        <v/>
      </c>
      <c r="E30" s="20">
        <f>SUM(E28:E29)</f>
        <v/>
      </c>
      <c r="F30" s="20">
        <f>SUM(F28:F29)</f>
        <v/>
      </c>
      <c r="G30" s="20">
        <f>SUM(G28:G29)</f>
        <v/>
      </c>
      <c r="H30" s="20">
        <f>SUM(H28:H29)</f>
        <v/>
      </c>
      <c r="I30" s="20">
        <f>SUM(I28:I29)</f>
        <v/>
      </c>
      <c r="J30" s="20">
        <f>SUM(J28:J29)</f>
        <v/>
      </c>
      <c r="K30" s="20">
        <f>SUM(K28:K29)</f>
        <v/>
      </c>
      <c r="L30" s="20">
        <f>SUM(L28:L29)</f>
        <v/>
      </c>
      <c r="M30" s="20">
        <f>SUM(M28:M29)</f>
        <v/>
      </c>
      <c r="N30" s="20">
        <f>SUM(N28:N29)</f>
        <v/>
      </c>
      <c r="O30" s="20">
        <f>SUM(O28:O29)</f>
        <v/>
      </c>
      <c r="P30" s="20">
        <f>SUM(P28:P29)</f>
        <v/>
      </c>
      <c r="Q30" s="20">
        <f>SUM(Q28:Q29)</f>
        <v/>
      </c>
      <c r="R30" s="20">
        <f>SUM(R28:R29)</f>
        <v/>
      </c>
    </row>
    <row r="31">
      <c r="B31" t="inlineStr">
        <is>
          <t>(-) Despesas Comerciais e Administrativas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>
        <v>-90</v>
      </c>
      <c r="N31" s="9" t="n"/>
      <c r="O31" s="9" t="n"/>
      <c r="P31" s="9" t="n"/>
      <c r="Q31" s="9" t="n"/>
      <c r="R31" s="17">
        <f>SUM(D31:Q31)</f>
        <v/>
      </c>
    </row>
    <row r="32">
      <c r="B32" t="inlineStr">
        <is>
          <t>(-) Depreciação (administrativa)</t>
        </is>
      </c>
      <c r="D32" s="9" t="n"/>
      <c r="E32" s="9" t="n"/>
      <c r="F32" s="9" t="n"/>
      <c r="G32" s="9" t="n"/>
      <c r="H32" s="9" t="n">
        <v>-10</v>
      </c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17">
        <f>SUM(D32:Q32)</f>
        <v/>
      </c>
    </row>
    <row r="33">
      <c r="B33" s="19" t="inlineStr">
        <is>
          <t xml:space="preserve">     (=) EBIT</t>
        </is>
      </c>
      <c r="D33" s="20">
        <f>SUM(D30:D32)</f>
        <v/>
      </c>
      <c r="E33" s="20">
        <f>SUM(E30:E32)</f>
        <v/>
      </c>
      <c r="F33" s="20">
        <f>SUM(F30:F32)</f>
        <v/>
      </c>
      <c r="G33" s="20">
        <f>SUM(G30:G32)</f>
        <v/>
      </c>
      <c r="H33" s="20">
        <f>SUM(H30:H32)</f>
        <v/>
      </c>
      <c r="I33" s="20">
        <f>SUM(I30:I32)</f>
        <v/>
      </c>
      <c r="J33" s="20">
        <f>SUM(J30:J32)</f>
        <v/>
      </c>
      <c r="K33" s="20">
        <f>SUM(K30:K32)</f>
        <v/>
      </c>
      <c r="L33" s="20">
        <f>SUM(L30:L32)</f>
        <v/>
      </c>
      <c r="M33" s="20">
        <f>SUM(M30:M32)</f>
        <v/>
      </c>
      <c r="N33" s="20">
        <f>SUM(N30:N32)</f>
        <v/>
      </c>
      <c r="O33" s="20">
        <f>SUM(O30:O32)</f>
        <v/>
      </c>
      <c r="P33" s="20">
        <f>SUM(P30:P32)</f>
        <v/>
      </c>
      <c r="Q33" s="20">
        <f>SUM(Q30:Q32)</f>
        <v/>
      </c>
      <c r="R33" s="20">
        <f>SUM(R30:R32)</f>
        <v/>
      </c>
    </row>
    <row r="34">
      <c r="B34" t="inlineStr">
        <is>
          <t>(+/-) Resultado Financeiro</t>
        </is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>
        <v>-20</v>
      </c>
      <c r="P34" s="9" t="n"/>
      <c r="Q34" s="9" t="n"/>
      <c r="R34" s="17">
        <f>SUM(D34:Q34)</f>
        <v/>
      </c>
    </row>
    <row r="35">
      <c r="B35" s="19" t="inlineStr">
        <is>
          <t xml:space="preserve">     (=) LAIR</t>
        </is>
      </c>
      <c r="D35" s="20">
        <f>SUM(D33:D34)</f>
        <v/>
      </c>
      <c r="E35" s="20">
        <f>SUM(E33:E34)</f>
        <v/>
      </c>
      <c r="F35" s="20">
        <f>SUM(F33:F34)</f>
        <v/>
      </c>
      <c r="G35" s="20">
        <f>SUM(G33:G34)</f>
        <v/>
      </c>
      <c r="H35" s="20">
        <f>SUM(H33:H34)</f>
        <v/>
      </c>
      <c r="I35" s="20">
        <f>SUM(I33:I34)</f>
        <v/>
      </c>
      <c r="J35" s="20">
        <f>SUM(J33:J34)</f>
        <v/>
      </c>
      <c r="K35" s="20">
        <f>SUM(K33:K34)</f>
        <v/>
      </c>
      <c r="L35" s="20">
        <f>SUM(L33:L34)</f>
        <v/>
      </c>
      <c r="M35" s="20">
        <f>SUM(M33:M34)</f>
        <v/>
      </c>
      <c r="N35" s="20">
        <f>SUM(N33:N34)</f>
        <v/>
      </c>
      <c r="O35" s="20">
        <f>SUM(O33:O34)</f>
        <v/>
      </c>
      <c r="P35" s="20">
        <f>SUM(P33:P34)</f>
        <v/>
      </c>
      <c r="Q35" s="20">
        <f>SUM(Q33:Q34)</f>
        <v/>
      </c>
      <c r="R35" s="20">
        <f>SUM(R33:R34)</f>
        <v/>
      </c>
    </row>
    <row r="36">
      <c r="B36" t="inlineStr">
        <is>
          <t>(-) IR e CSLL</t>
        </is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>
        <v>-30</v>
      </c>
      <c r="Q36" s="9" t="n"/>
      <c r="R36" s="17">
        <f>SUM(D36:Q36)</f>
        <v/>
      </c>
    </row>
    <row r="37">
      <c r="B37" s="19" t="inlineStr">
        <is>
          <t xml:space="preserve">     (=) Lucro Líquido</t>
        </is>
      </c>
      <c r="D37" s="20">
        <f>SUM(D35:D36)</f>
        <v/>
      </c>
      <c r="E37" s="20">
        <f>SUM(E35:E36)</f>
        <v/>
      </c>
      <c r="F37" s="20">
        <f>SUM(F35:F36)</f>
        <v/>
      </c>
      <c r="G37" s="20">
        <f>SUM(G35:G36)</f>
        <v/>
      </c>
      <c r="H37" s="20">
        <f>SUM(H35:H36)</f>
        <v/>
      </c>
      <c r="I37" s="20">
        <f>SUM(I35:I36)</f>
        <v/>
      </c>
      <c r="J37" s="20">
        <f>SUM(J35:J36)</f>
        <v/>
      </c>
      <c r="K37" s="20">
        <f>SUM(K35:K36)</f>
        <v/>
      </c>
      <c r="L37" s="20">
        <f>SUM(L35:L36)</f>
        <v/>
      </c>
      <c r="M37" s="20">
        <f>SUM(M35:M36)</f>
        <v/>
      </c>
      <c r="N37" s="20">
        <f>SUM(N35:N36)</f>
        <v/>
      </c>
      <c r="O37" s="20">
        <f>SUM(O35:O36)</f>
        <v/>
      </c>
      <c r="P37" s="20">
        <f>SUM(P35:P36)</f>
        <v/>
      </c>
      <c r="Q37" s="20">
        <f>SUM(Q35:Q36)</f>
        <v/>
      </c>
      <c r="R37" s="20">
        <f>SUM(R35:R36)</f>
        <v/>
      </c>
    </row>
    <row r="39">
      <c r="B39" s="13" t="inlineStr">
        <is>
          <t>Demonstração dos Fluxos de Caixa</t>
        </is>
      </c>
      <c r="D39" s="3" t="n">
        <v>1</v>
      </c>
      <c r="E39" s="3" t="n">
        <v>2</v>
      </c>
      <c r="F39" s="3" t="n">
        <v>3</v>
      </c>
      <c r="G39" s="3" t="n">
        <v>4</v>
      </c>
      <c r="H39" s="3" t="n">
        <v>5</v>
      </c>
      <c r="I39" s="3" t="n">
        <v>6</v>
      </c>
      <c r="J39" s="3" t="n">
        <v>7</v>
      </c>
      <c r="K39" s="3" t="n">
        <v>8</v>
      </c>
      <c r="L39" s="3" t="n">
        <v>9</v>
      </c>
      <c r="M39" s="3" t="n">
        <v>10</v>
      </c>
      <c r="N39" s="3" t="n">
        <v>11</v>
      </c>
      <c r="O39" s="3" t="n">
        <v>12</v>
      </c>
      <c r="P39" s="3" t="n">
        <v>13</v>
      </c>
      <c r="Q39" s="3" t="n">
        <v>14</v>
      </c>
      <c r="R39" s="13" t="inlineStr">
        <is>
          <t>Ano 3</t>
        </is>
      </c>
    </row>
    <row r="40">
      <c r="B40" s="19" t="inlineStr">
        <is>
          <t>OPERAÇÕES</t>
        </is>
      </c>
      <c r="D40" s="20">
        <f>SUM(D41:D46)</f>
        <v/>
      </c>
      <c r="E40" s="20">
        <f>SUM(E41:E46)</f>
        <v/>
      </c>
      <c r="F40" s="20">
        <f>SUM(F41:F46)</f>
        <v/>
      </c>
      <c r="G40" s="20">
        <f>SUM(G41:G46)</f>
        <v/>
      </c>
      <c r="H40" s="20">
        <f>SUM(H41:H46)</f>
        <v/>
      </c>
      <c r="I40" s="20">
        <f>SUM(I41:I46)</f>
        <v/>
      </c>
      <c r="J40" s="20">
        <f>SUM(J41:J46)</f>
        <v/>
      </c>
      <c r="K40" s="20">
        <f>SUM(K41:K46)</f>
        <v/>
      </c>
      <c r="L40" s="20">
        <f>SUM(L41:L46)</f>
        <v/>
      </c>
      <c r="M40" s="20">
        <f>SUM(M41:M46)</f>
        <v/>
      </c>
      <c r="N40" s="20">
        <f>SUM(N41:N46)</f>
        <v/>
      </c>
      <c r="O40" s="20">
        <f>SUM(O41:O46)</f>
        <v/>
      </c>
      <c r="P40" s="20">
        <f>SUM(P41:P46)</f>
        <v/>
      </c>
      <c r="Q40" s="20">
        <f>SUM(Q41:Q46)</f>
        <v/>
      </c>
      <c r="R40" s="20">
        <f>SUM(R41:R46)</f>
        <v/>
      </c>
    </row>
    <row r="41">
      <c r="B41" t="inlineStr">
        <is>
          <t>Recebimentos de Clientes</t>
        </is>
      </c>
      <c r="D41" s="9" t="n"/>
      <c r="E41" s="9" t="n"/>
      <c r="F41" s="9" t="n"/>
      <c r="G41" s="9" t="n"/>
      <c r="H41" s="9" t="n"/>
      <c r="I41" s="9" t="n"/>
      <c r="J41" s="9" t="n">
        <v>450</v>
      </c>
      <c r="K41" s="9" t="n">
        <v>210</v>
      </c>
      <c r="L41" s="9" t="n"/>
      <c r="M41" s="9" t="n"/>
      <c r="N41" s="9" t="n"/>
      <c r="O41" s="9" t="n"/>
      <c r="P41" s="9" t="n"/>
      <c r="Q41" s="9" t="n"/>
      <c r="R41" s="17">
        <f>SUM(D41:Q41)</f>
        <v/>
      </c>
    </row>
    <row r="42">
      <c r="B42" t="inlineStr">
        <is>
          <t>Pagamentos a Fornecedores</t>
        </is>
      </c>
      <c r="D42" s="9" t="n">
        <v>-60</v>
      </c>
      <c r="E42" s="9" t="n"/>
      <c r="F42" s="9" t="n"/>
      <c r="G42" s="9" t="n"/>
      <c r="H42" s="9" t="n"/>
      <c r="I42" s="9" t="n"/>
      <c r="J42" s="9" t="n"/>
      <c r="K42" s="9" t="n"/>
      <c r="L42" s="9" t="n">
        <v>-230</v>
      </c>
      <c r="M42" s="9" t="n"/>
      <c r="N42" s="9" t="n"/>
      <c r="O42" s="9" t="n"/>
      <c r="P42" s="9" t="n"/>
      <c r="Q42" s="9" t="n"/>
      <c r="R42" s="17">
        <f>SUM(D42:Q42)</f>
        <v/>
      </c>
    </row>
    <row r="43">
      <c r="B43" t="inlineStr">
        <is>
          <t>Pagamentos de Salários</t>
        </is>
      </c>
      <c r="D43" s="9" t="n"/>
      <c r="E43" s="9" t="n"/>
      <c r="F43" s="9" t="n"/>
      <c r="G43" s="9" t="n">
        <v>-190</v>
      </c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>
        <f>SUM(D43:Q43)</f>
        <v/>
      </c>
    </row>
    <row r="44">
      <c r="B44" t="inlineStr">
        <is>
          <t>Pagamentos de Despesas</t>
        </is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>
        <v>-90</v>
      </c>
      <c r="N44" s="9" t="n"/>
      <c r="O44" s="9" t="n"/>
      <c r="P44" s="9" t="n"/>
      <c r="Q44" s="9" t="n"/>
      <c r="R44" s="17">
        <f>SUM(D44:Q44)</f>
        <v/>
      </c>
    </row>
    <row r="45">
      <c r="B45" t="inlineStr">
        <is>
          <t>Juros Pagos</t>
        </is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>
        <v>-20</v>
      </c>
      <c r="P45" s="9" t="n"/>
      <c r="Q45" s="9" t="n"/>
      <c r="R45" s="17">
        <f>SUM(D45:Q45)</f>
        <v/>
      </c>
    </row>
    <row r="46">
      <c r="B46" t="inlineStr">
        <is>
          <t>IR Pago</t>
        </is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>
        <v>-30</v>
      </c>
      <c r="Q46" s="9" t="n"/>
      <c r="R46" s="17">
        <f>SUM(D46:Q46)</f>
        <v/>
      </c>
    </row>
    <row r="47">
      <c r="B47" s="19" t="inlineStr">
        <is>
          <t>INVESTIMENTOS</t>
        </is>
      </c>
      <c r="D47" s="20">
        <f>SUM(D48:D48)</f>
        <v/>
      </c>
      <c r="E47" s="20">
        <f>SUM(E48:E48)</f>
        <v/>
      </c>
      <c r="F47" s="20">
        <f>SUM(F48:F48)</f>
        <v/>
      </c>
      <c r="G47" s="20">
        <f>SUM(G48:G48)</f>
        <v/>
      </c>
      <c r="H47" s="20">
        <f>SUM(H48:H48)</f>
        <v/>
      </c>
      <c r="I47" s="20">
        <f>SUM(I48:I48)</f>
        <v/>
      </c>
      <c r="J47" s="20">
        <f>SUM(J48:J48)</f>
        <v/>
      </c>
      <c r="K47" s="20">
        <f>SUM(K48:K48)</f>
        <v/>
      </c>
      <c r="L47" s="20">
        <f>SUM(L48:L48)</f>
        <v/>
      </c>
      <c r="M47" s="20">
        <f>SUM(M48:M48)</f>
        <v/>
      </c>
      <c r="N47" s="20">
        <f>SUM(N48:N48)</f>
        <v/>
      </c>
      <c r="O47" s="20">
        <f>SUM(O48:O48)</f>
        <v/>
      </c>
      <c r="P47" s="20">
        <f>SUM(P48:P48)</f>
        <v/>
      </c>
      <c r="Q47" s="20">
        <f>SUM(Q48:Q48)</f>
        <v/>
      </c>
      <c r="R47" s="20">
        <f>SUM(R48:R48)</f>
        <v/>
      </c>
    </row>
    <row r="48">
      <c r="B48" t="inlineStr">
        <is>
          <t>Aquisição de Imobilizado</t>
        </is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>
        <v>-60</v>
      </c>
      <c r="O48" s="9" t="n"/>
      <c r="P48" s="9" t="n"/>
      <c r="Q48" s="9" t="n"/>
      <c r="R48" s="17">
        <f>SUM(D48:Q48)</f>
        <v/>
      </c>
    </row>
    <row r="49">
      <c r="B49" s="19" t="inlineStr">
        <is>
          <t>FINANCIAMENTOS</t>
        </is>
      </c>
      <c r="D49" s="20">
        <f>SUM(D50:D51)</f>
        <v/>
      </c>
      <c r="E49" s="20">
        <f>SUM(E50:E51)</f>
        <v/>
      </c>
      <c r="F49" s="20">
        <f>SUM(F50:F51)</f>
        <v/>
      </c>
      <c r="G49" s="20">
        <f>SUM(G50:G51)</f>
        <v/>
      </c>
      <c r="H49" s="20">
        <f>SUM(H50:H51)</f>
        <v/>
      </c>
      <c r="I49" s="20">
        <f>SUM(I50:I51)</f>
        <v/>
      </c>
      <c r="J49" s="20">
        <f>SUM(J50:J51)</f>
        <v/>
      </c>
      <c r="K49" s="20">
        <f>SUM(K50:K51)</f>
        <v/>
      </c>
      <c r="L49" s="20">
        <f>SUM(L50:L51)</f>
        <v/>
      </c>
      <c r="M49" s="20">
        <f>SUM(M50:M51)</f>
        <v/>
      </c>
      <c r="N49" s="20">
        <f>SUM(N50:N51)</f>
        <v/>
      </c>
      <c r="O49" s="20">
        <f>SUM(O50:O51)</f>
        <v/>
      </c>
      <c r="P49" s="20">
        <f>SUM(P50:P51)</f>
        <v/>
      </c>
      <c r="Q49" s="20">
        <f>SUM(Q50:Q51)</f>
        <v/>
      </c>
      <c r="R49" s="20">
        <f>SUM(R50:R51)</f>
        <v/>
      </c>
    </row>
    <row r="50">
      <c r="B50" t="inlineStr">
        <is>
          <t>Amortização de Empréstimos</t>
        </is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>
        <v>-50</v>
      </c>
      <c r="P50" s="9" t="n"/>
      <c r="Q50" s="9" t="n"/>
      <c r="R50" s="17">
        <f>SUM(D50:Q50)</f>
        <v/>
      </c>
    </row>
    <row r="51">
      <c r="B51" t="inlineStr">
        <is>
          <t>Dividendos Pagos</t>
        </is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>
        <v>-25</v>
      </c>
      <c r="R51" s="17">
        <f>SUM(D51:Q51)</f>
        <v/>
      </c>
    </row>
    <row r="52">
      <c r="B52" s="19" t="inlineStr">
        <is>
          <t>VARIAÇÃO NO CAIXA</t>
        </is>
      </c>
      <c r="D52" s="20">
        <f>D40+D47+D49</f>
        <v/>
      </c>
      <c r="E52" s="20">
        <f>E40+E47+E49</f>
        <v/>
      </c>
      <c r="F52" s="20">
        <f>F40+F47+F49</f>
        <v/>
      </c>
      <c r="G52" s="20">
        <f>G40+G47+G49</f>
        <v/>
      </c>
      <c r="H52" s="20">
        <f>H40+H47+H49</f>
        <v/>
      </c>
      <c r="I52" s="20">
        <f>I40+I47+I49</f>
        <v/>
      </c>
      <c r="J52" s="20">
        <f>J40+J47+J49</f>
        <v/>
      </c>
      <c r="K52" s="20">
        <f>K40+K47+K49</f>
        <v/>
      </c>
      <c r="L52" s="20">
        <f>L40+L47+L49</f>
        <v/>
      </c>
      <c r="M52" s="20">
        <f>M40+M47+M49</f>
        <v/>
      </c>
      <c r="N52" s="20">
        <f>N40+N47+N49</f>
        <v/>
      </c>
      <c r="O52" s="20">
        <f>O40+O47+O49</f>
        <v/>
      </c>
      <c r="P52" s="20">
        <f>P40+P47+P49</f>
        <v/>
      </c>
      <c r="Q52" s="20">
        <f>Q40+Q47+Q49</f>
        <v/>
      </c>
      <c r="R52" s="20">
        <f>R40+R47+R49</f>
        <v/>
      </c>
    </row>
    <row r="53">
      <c r="B53" t="inlineStr">
        <is>
          <t xml:space="preserve">    Saldo inicial de caixa</t>
        </is>
      </c>
      <c r="R53" s="16" t="n">
        <v>110</v>
      </c>
    </row>
    <row r="54">
      <c r="B54" s="19" t="inlineStr">
        <is>
          <t xml:space="preserve">    Saldo final de caixa</t>
        </is>
      </c>
      <c r="R54" s="17">
        <f>R53+R52</f>
        <v/>
      </c>
    </row>
    <row r="56">
      <c r="B56" s="21" t="inlineStr">
        <is>
          <t>Caixa final da DFC menos Caixa do BP (tem que dar zero)</t>
        </is>
      </c>
      <c r="R56" s="17">
        <f>R54-R6</f>
        <v/>
      </c>
    </row>
    <row r="58">
      <c r="B58" s="13" t="inlineStr">
        <is>
          <t>Indicadores (automáticos)</t>
        </is>
      </c>
    </row>
    <row r="59">
      <c r="B59" t="inlineStr">
        <is>
          <t>Margem bruta</t>
        </is>
      </c>
      <c r="R59" s="23">
        <f>IF(R28=0,"",R30/R28)</f>
        <v/>
      </c>
    </row>
    <row r="60">
      <c r="B60" t="inlineStr">
        <is>
          <t>Margem líquida</t>
        </is>
      </c>
      <c r="R60" s="23">
        <f>IF(R28=0,"",R37/R28)</f>
        <v/>
      </c>
    </row>
    <row r="61">
      <c r="B61" t="inlineStr">
        <is>
          <t>% financiado por capital próprio (PL / Ativo)</t>
        </is>
      </c>
      <c r="R61" s="23">
        <f>IF(R14=0,"",SUM(R21:R22)/R14)</f>
        <v/>
      </c>
    </row>
    <row r="62">
      <c r="B62" t="inlineStr">
        <is>
          <t>ROE (LL / PL final)</t>
        </is>
      </c>
      <c r="R62" s="23">
        <f>IF(SUM(R21:R22)=0,"",R37/SUM(R21:R22))</f>
        <v/>
      </c>
    </row>
  </sheetData>
  <mergeCells count="1">
    <mergeCell ref="B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4" customWidth="1" min="3" max="3"/>
    <col width="13" customWidth="1" min="4" max="4"/>
    <col width="3" customWidth="1" min="5" max="5"/>
    <col width="24" customWidth="1" min="6" max="6"/>
    <col width="13" customWidth="1" min="7" max="7"/>
    <col width="3" customWidth="1" min="8" max="8"/>
    <col width="20" customWidth="1" min="9" max="9"/>
    <col width="13" customWidth="1" min="10" max="10"/>
    <col width="8" customWidth="1" min="11" max="11"/>
  </cols>
  <sheetData>
    <row r="1">
      <c r="A1" s="1" t="inlineStr">
        <is>
          <t>Metalúrgica Pilar S.A.  |  Efeito das transações na Equação do Balanço</t>
        </is>
      </c>
    </row>
    <row r="2">
      <c r="A2" s="2" t="inlineStr">
        <is>
          <t>Uma linha por movimento: escreve a conta e o valor, com sinal. Transação que mexe em três contas do mesmo lado usa as três linhas. A coluna Check acusa se aquela transação fechou.</t>
        </is>
      </c>
    </row>
    <row r="4">
      <c r="A4" s="3" t="inlineStr">
        <is>
          <t>Nº</t>
        </is>
      </c>
      <c r="B4" s="3" t="inlineStr">
        <is>
          <t>Descrição</t>
        </is>
      </c>
      <c r="C4" s="3" t="inlineStr">
        <is>
          <t>ATIVO</t>
        </is>
      </c>
      <c r="D4" s="4" t="n"/>
      <c r="E4" s="3" t="inlineStr">
        <is>
          <t>=</t>
        </is>
      </c>
      <c r="F4" s="3" t="inlineStr">
        <is>
          <t>PASSIVO</t>
        </is>
      </c>
      <c r="G4" s="4" t="n"/>
      <c r="H4" s="3" t="inlineStr">
        <is>
          <t>+</t>
        </is>
      </c>
      <c r="I4" s="3" t="inlineStr">
        <is>
          <t>PATRIMÔNIO LÍQUIDO</t>
        </is>
      </c>
      <c r="J4" s="4" t="n"/>
      <c r="K4" s="3" t="inlineStr">
        <is>
          <t>Check</t>
        </is>
      </c>
    </row>
    <row r="5">
      <c r="C5" s="5" t="inlineStr">
        <is>
          <t>conta</t>
        </is>
      </c>
      <c r="D5" s="5" t="inlineStr">
        <is>
          <t>valor</t>
        </is>
      </c>
      <c r="F5" s="5" t="inlineStr">
        <is>
          <t>conta</t>
        </is>
      </c>
      <c r="G5" s="5" t="inlineStr">
        <is>
          <t>valor</t>
        </is>
      </c>
      <c r="I5" s="5" t="inlineStr">
        <is>
          <t>conta</t>
        </is>
      </c>
      <c r="J5" s="5" t="inlineStr">
        <is>
          <t>valor</t>
        </is>
      </c>
    </row>
    <row r="6">
      <c r="A6" s="6" t="n">
        <v>1</v>
      </c>
      <c r="B6" s="7" t="inlineStr">
        <is>
          <t>Compra de matéria-prima por 260, sendo 60 à vista e 200 a prazo</t>
        </is>
      </c>
      <c r="C6" s="8" t="inlineStr">
        <is>
          <t>Caixa</t>
        </is>
      </c>
      <c r="D6" s="9" t="n">
        <v>-60</v>
      </c>
      <c r="E6" s="10" t="inlineStr">
        <is>
          <t>=</t>
        </is>
      </c>
      <c r="F6" s="8" t="inlineStr">
        <is>
          <t>Fornecedores</t>
        </is>
      </c>
      <c r="G6" s="9" t="n">
        <v>200</v>
      </c>
      <c r="H6" s="10" t="inlineStr">
        <is>
          <t>+</t>
        </is>
      </c>
      <c r="I6" s="8" t="n"/>
      <c r="J6" s="9" t="n"/>
      <c r="K6" s="6">
        <f>IF(COUNT(D6:D7,G6:G7,J6:J7)=0,"",IF(SUM(D6:D7)-SUM(G6:G7)-SUM(J6:J7)=0,"✔","✗"))</f>
        <v/>
      </c>
    </row>
    <row r="7">
      <c r="C7" s="8" t="inlineStr">
        <is>
          <t>Estoque de Matéria-Prima</t>
        </is>
      </c>
      <c r="D7" s="9" t="n">
        <v>260</v>
      </c>
      <c r="E7" s="10" t="inlineStr">
        <is>
          <t>=</t>
        </is>
      </c>
      <c r="F7" s="8" t="n"/>
      <c r="G7" s="9" t="n"/>
      <c r="H7" s="10" t="inlineStr">
        <is>
          <t>+</t>
        </is>
      </c>
      <c r="I7" s="8" t="n"/>
      <c r="J7" s="9" t="n"/>
    </row>
    <row r="8">
      <c r="A8" s="6" t="n">
        <v>2</v>
      </c>
      <c r="B8" s="7" t="inlineStr">
        <is>
          <t>Requisição de 250 de matéria-prima para a linha de produção</t>
        </is>
      </c>
      <c r="C8" s="8" t="inlineStr">
        <is>
          <t>Estoque de Matéria-Prima</t>
        </is>
      </c>
      <c r="D8" s="9" t="n">
        <v>-250</v>
      </c>
      <c r="E8" s="10" t="inlineStr">
        <is>
          <t>=</t>
        </is>
      </c>
      <c r="F8" s="8" t="n"/>
      <c r="G8" s="9" t="n"/>
      <c r="H8" s="10" t="inlineStr">
        <is>
          <t>+</t>
        </is>
      </c>
      <c r="I8" s="8" t="n"/>
      <c r="J8" s="9" t="n"/>
      <c r="K8" s="6">
        <f>IF(COUNT(D8:D9,G8:G9,J8:J9)=0,"",IF(SUM(D8:D9)-SUM(G8:G9)-SUM(J8:J9)=0,"✔","✗"))</f>
        <v/>
      </c>
    </row>
    <row r="9">
      <c r="C9" s="8" t="inlineStr">
        <is>
          <t>Produtos em Elaboração</t>
        </is>
      </c>
      <c r="D9" s="9" t="n">
        <v>250</v>
      </c>
      <c r="E9" s="10" t="inlineStr">
        <is>
          <t>=</t>
        </is>
      </c>
      <c r="F9" s="8" t="n"/>
      <c r="G9" s="9" t="n"/>
      <c r="H9" s="10" t="inlineStr">
        <is>
          <t>+</t>
        </is>
      </c>
      <c r="I9" s="8" t="n"/>
      <c r="J9" s="9" t="n"/>
    </row>
    <row r="10">
      <c r="A10" s="6" t="n">
        <v>3</v>
      </c>
      <c r="B10" s="7" t="inlineStr">
        <is>
          <t>Folha da fábrica do ano, 180, apropriada ao custo de produção</t>
        </is>
      </c>
      <c r="C10" s="8" t="inlineStr">
        <is>
          <t>Produtos em Elaboração</t>
        </is>
      </c>
      <c r="D10" s="9" t="n">
        <v>180</v>
      </c>
      <c r="E10" s="10" t="inlineStr">
        <is>
          <t>=</t>
        </is>
      </c>
      <c r="F10" s="8" t="inlineStr">
        <is>
          <t>Salários a Pagar</t>
        </is>
      </c>
      <c r="G10" s="9" t="n">
        <v>180</v>
      </c>
      <c r="H10" s="10" t="inlineStr">
        <is>
          <t>+</t>
        </is>
      </c>
      <c r="I10" s="8" t="n"/>
      <c r="J10" s="9" t="n"/>
      <c r="K10" s="6">
        <f>IF(COUNT(D10:D11,G10:G11,J10:J11)=0,"",IF(SUM(D10:D11)-SUM(G10:G11)-SUM(J10:J11)=0,"✔","✗"))</f>
        <v/>
      </c>
    </row>
    <row r="11">
      <c r="C11" s="8" t="n"/>
      <c r="D11" s="9" t="n"/>
      <c r="E11" s="10" t="inlineStr">
        <is>
          <t>=</t>
        </is>
      </c>
      <c r="F11" s="8" t="n"/>
      <c r="G11" s="9" t="n"/>
      <c r="H11" s="10" t="inlineStr">
        <is>
          <t>+</t>
        </is>
      </c>
      <c r="I11" s="8" t="n"/>
      <c r="J11" s="9" t="n"/>
    </row>
    <row r="12">
      <c r="A12" s="6" t="n">
        <v>4</v>
      </c>
      <c r="B12" s="7" t="inlineStr">
        <is>
          <t>Pagamento de salários: 190 em dinheiro, incluindo os 20 devidos do ano anterior</t>
        </is>
      </c>
      <c r="C12" s="8" t="inlineStr">
        <is>
          <t>Caixa</t>
        </is>
      </c>
      <c r="D12" s="9" t="n">
        <v>-190</v>
      </c>
      <c r="E12" s="10" t="inlineStr">
        <is>
          <t>=</t>
        </is>
      </c>
      <c r="F12" s="8" t="inlineStr">
        <is>
          <t>Salários a Pagar</t>
        </is>
      </c>
      <c r="G12" s="9" t="n">
        <v>-190</v>
      </c>
      <c r="H12" s="10" t="inlineStr">
        <is>
          <t>+</t>
        </is>
      </c>
      <c r="I12" s="8" t="n"/>
      <c r="J12" s="9" t="n"/>
      <c r="K12" s="6">
        <f>IF(COUNT(D12:D13,G12:G13,J12:J13)=0,"",IF(SUM(D12:D13)-SUM(G12:G13)-SUM(J12:J13)=0,"✔","✗"))</f>
        <v/>
      </c>
    </row>
    <row r="13">
      <c r="C13" s="8" t="n"/>
      <c r="D13" s="9" t="n"/>
      <c r="E13" s="10" t="inlineStr">
        <is>
          <t>=</t>
        </is>
      </c>
      <c r="F13" s="8" t="n"/>
      <c r="G13" s="9" t="n"/>
      <c r="H13" s="10" t="inlineStr">
        <is>
          <t>+</t>
        </is>
      </c>
      <c r="I13" s="8" t="n"/>
      <c r="J13" s="9" t="n"/>
    </row>
    <row r="14">
      <c r="A14" s="6" t="n">
        <v>5</v>
      </c>
      <c r="B14" s="7" t="inlineStr">
        <is>
          <t>Depreciação do ano: 40, sendo 30 das máquinas da fábrica e 10 dos móveis do escritório</t>
        </is>
      </c>
      <c r="C14" s="8" t="inlineStr">
        <is>
          <t>(-) Depreciação Acumulada</t>
        </is>
      </c>
      <c r="D14" s="9" t="n">
        <v>-40</v>
      </c>
      <c r="E14" s="10" t="inlineStr">
        <is>
          <t>=</t>
        </is>
      </c>
      <c r="F14" s="8" t="n"/>
      <c r="G14" s="9" t="n"/>
      <c r="H14" s="10" t="inlineStr">
        <is>
          <t>+</t>
        </is>
      </c>
      <c r="I14" s="8" t="inlineStr">
        <is>
          <t>Lucros Acumulados</t>
        </is>
      </c>
      <c r="J14" s="9" t="n">
        <v>-10</v>
      </c>
      <c r="K14" s="6">
        <f>IF(COUNT(D14:D15,G14:G15,J14:J15)=0,"",IF(SUM(D14:D15)-SUM(G14:G15)-SUM(J14:J15)=0,"✔","✗"))</f>
        <v/>
      </c>
    </row>
    <row r="15">
      <c r="C15" s="8" t="inlineStr">
        <is>
          <t>Produtos em Elaboração</t>
        </is>
      </c>
      <c r="D15" s="9" t="n">
        <v>30</v>
      </c>
      <c r="E15" s="10" t="inlineStr">
        <is>
          <t>=</t>
        </is>
      </c>
      <c r="F15" s="8" t="n"/>
      <c r="G15" s="9" t="n"/>
      <c r="H15" s="10" t="inlineStr">
        <is>
          <t>+</t>
        </is>
      </c>
      <c r="I15" s="8" t="n"/>
      <c r="J15" s="9" t="n"/>
    </row>
    <row r="16">
      <c r="A16" s="6" t="n">
        <v>6</v>
      </c>
      <c r="B16" s="7" t="inlineStr">
        <is>
          <t>Produção concluída no ano e transferida para produtos acabados: 470</t>
        </is>
      </c>
      <c r="C16" s="8" t="inlineStr">
        <is>
          <t>Produtos em Elaboração</t>
        </is>
      </c>
      <c r="D16" s="9" t="n">
        <v>-470</v>
      </c>
      <c r="E16" s="10" t="inlineStr">
        <is>
          <t>=</t>
        </is>
      </c>
      <c r="F16" s="8" t="n"/>
      <c r="G16" s="9" t="n"/>
      <c r="H16" s="10" t="inlineStr">
        <is>
          <t>+</t>
        </is>
      </c>
      <c r="I16" s="8" t="n"/>
      <c r="J16" s="9" t="n"/>
      <c r="K16" s="6">
        <f>IF(COUNT(D16:D17,G16:G17,J16:J17)=0,"",IF(SUM(D16:D17)-SUM(G16:G17)-SUM(J16:J17)=0,"✔","✗"))</f>
        <v/>
      </c>
    </row>
    <row r="17">
      <c r="C17" s="8" t="inlineStr">
        <is>
          <t>Produtos Acabados</t>
        </is>
      </c>
      <c r="D17" s="9" t="n">
        <v>470</v>
      </c>
      <c r="E17" s="10" t="inlineStr">
        <is>
          <t>=</t>
        </is>
      </c>
      <c r="F17" s="8" t="n"/>
      <c r="G17" s="9" t="n"/>
      <c r="H17" s="10" t="inlineStr">
        <is>
          <t>+</t>
        </is>
      </c>
      <c r="I17" s="8" t="n"/>
      <c r="J17" s="9" t="n"/>
    </row>
    <row r="18">
      <c r="A18" s="6" t="n">
        <v>7</v>
      </c>
      <c r="B18" s="7" t="inlineStr">
        <is>
          <t>Vendas do ano: 700, sendo 450 à vista e 250 a prazo; o custo dos produtos vendidos foi 480</t>
        </is>
      </c>
      <c r="C18" s="8" t="inlineStr">
        <is>
          <t>Caixa</t>
        </is>
      </c>
      <c r="D18" s="9" t="n">
        <v>450</v>
      </c>
      <c r="E18" s="10" t="inlineStr">
        <is>
          <t>=</t>
        </is>
      </c>
      <c r="F18" s="8" t="n"/>
      <c r="G18" s="9" t="n"/>
      <c r="H18" s="10" t="inlineStr">
        <is>
          <t>+</t>
        </is>
      </c>
      <c r="I18" s="8" t="inlineStr">
        <is>
          <t>Lucros Acumulados</t>
        </is>
      </c>
      <c r="J18" s="9" t="n">
        <v>220</v>
      </c>
      <c r="K18" s="6">
        <f>IF(COUNT(D18:D20,G18:G20,J18:J20)=0,"",IF(SUM(D18:D20)-SUM(G18:G20)-SUM(J18:J20)=0,"✔","✗"))</f>
        <v/>
      </c>
    </row>
    <row r="19">
      <c r="C19" s="8" t="inlineStr">
        <is>
          <t>Contas a Receber</t>
        </is>
      </c>
      <c r="D19" s="9" t="n">
        <v>250</v>
      </c>
      <c r="E19" s="10" t="inlineStr">
        <is>
          <t>=</t>
        </is>
      </c>
      <c r="F19" s="8" t="n"/>
      <c r="G19" s="9" t="n"/>
      <c r="H19" s="10" t="inlineStr">
        <is>
          <t>+</t>
        </is>
      </c>
      <c r="I19" s="8" t="n"/>
      <c r="J19" s="9" t="n"/>
    </row>
    <row r="20">
      <c r="C20" s="8" t="inlineStr">
        <is>
          <t>Produtos Acabados</t>
        </is>
      </c>
      <c r="D20" s="9" t="n">
        <v>-480</v>
      </c>
      <c r="E20" s="10" t="inlineStr">
        <is>
          <t>=</t>
        </is>
      </c>
      <c r="F20" s="8" t="n"/>
      <c r="G20" s="9" t="n"/>
      <c r="H20" s="10" t="inlineStr">
        <is>
          <t>+</t>
        </is>
      </c>
      <c r="I20" s="8" t="n"/>
      <c r="J20" s="9" t="n"/>
    </row>
    <row r="21">
      <c r="A21" s="6" t="n">
        <v>8</v>
      </c>
      <c r="B21" s="7" t="inlineStr">
        <is>
          <t>Recebimento de 210 de clientes, referente a vendas de anos anteriores</t>
        </is>
      </c>
      <c r="C21" s="8" t="inlineStr">
        <is>
          <t>Caixa</t>
        </is>
      </c>
      <c r="D21" s="9" t="n">
        <v>210</v>
      </c>
      <c r="E21" s="10" t="inlineStr">
        <is>
          <t>=</t>
        </is>
      </c>
      <c r="F21" s="8" t="n"/>
      <c r="G21" s="9" t="n"/>
      <c r="H21" s="10" t="inlineStr">
        <is>
          <t>+</t>
        </is>
      </c>
      <c r="I21" s="8" t="n"/>
      <c r="J21" s="9" t="n"/>
      <c r="K21" s="6">
        <f>IF(COUNT(D21:D22,G21:G22,J21:J22)=0,"",IF(SUM(D21:D22)-SUM(G21:G22)-SUM(J21:J22)=0,"✔","✗"))</f>
        <v/>
      </c>
    </row>
    <row r="22">
      <c r="C22" s="8" t="inlineStr">
        <is>
          <t>Contas a Receber</t>
        </is>
      </c>
      <c r="D22" s="9" t="n">
        <v>-210</v>
      </c>
      <c r="E22" s="10" t="inlineStr">
        <is>
          <t>=</t>
        </is>
      </c>
      <c r="F22" s="8" t="n"/>
      <c r="G22" s="9" t="n"/>
      <c r="H22" s="10" t="inlineStr">
        <is>
          <t>+</t>
        </is>
      </c>
      <c r="I22" s="8" t="n"/>
      <c r="J22" s="9" t="n"/>
    </row>
    <row r="23">
      <c r="A23" s="6" t="n">
        <v>9</v>
      </c>
      <c r="B23" s="7" t="inlineStr">
        <is>
          <t>Pagamento de 230 a fornecedores</t>
        </is>
      </c>
      <c r="C23" s="8" t="inlineStr">
        <is>
          <t>Caixa</t>
        </is>
      </c>
      <c r="D23" s="9" t="n">
        <v>-230</v>
      </c>
      <c r="E23" s="10" t="inlineStr">
        <is>
          <t>=</t>
        </is>
      </c>
      <c r="F23" s="8" t="inlineStr">
        <is>
          <t>Fornecedores</t>
        </is>
      </c>
      <c r="G23" s="9" t="n">
        <v>-230</v>
      </c>
      <c r="H23" s="10" t="inlineStr">
        <is>
          <t>+</t>
        </is>
      </c>
      <c r="I23" s="8" t="n"/>
      <c r="J23" s="9" t="n"/>
      <c r="K23" s="6">
        <f>IF(COUNT(D23:D24,G23:G24,J23:J24)=0,"",IF(SUM(D23:D24)-SUM(G23:G24)-SUM(J23:J24)=0,"✔","✗"))</f>
        <v/>
      </c>
    </row>
    <row r="24">
      <c r="C24" s="8" t="n"/>
      <c r="D24" s="9" t="n"/>
      <c r="E24" s="10" t="inlineStr">
        <is>
          <t>=</t>
        </is>
      </c>
      <c r="F24" s="8" t="n"/>
      <c r="G24" s="9" t="n"/>
      <c r="H24" s="10" t="inlineStr">
        <is>
          <t>+</t>
        </is>
      </c>
      <c r="I24" s="8" t="n"/>
      <c r="J24" s="9" t="n"/>
    </row>
    <row r="25">
      <c r="A25" s="6" t="n">
        <v>10</v>
      </c>
      <c r="B25" s="7" t="inlineStr">
        <is>
          <t>Despesas comerciais e administrativas do ano: 90, pagas à vista</t>
        </is>
      </c>
      <c r="C25" s="8" t="inlineStr">
        <is>
          <t>Caixa</t>
        </is>
      </c>
      <c r="D25" s="9" t="n">
        <v>-90</v>
      </c>
      <c r="E25" s="10" t="inlineStr">
        <is>
          <t>=</t>
        </is>
      </c>
      <c r="F25" s="8" t="n"/>
      <c r="G25" s="9" t="n"/>
      <c r="H25" s="10" t="inlineStr">
        <is>
          <t>+</t>
        </is>
      </c>
      <c r="I25" s="8" t="inlineStr">
        <is>
          <t>Lucros Acumulados</t>
        </is>
      </c>
      <c r="J25" s="9" t="n">
        <v>-90</v>
      </c>
      <c r="K25" s="6">
        <f>IF(COUNT(D25:D26,G25:G26,J25:J26)=0,"",IF(SUM(D25:D26)-SUM(G25:G26)-SUM(J25:J26)=0,"✔","✗"))</f>
        <v/>
      </c>
    </row>
    <row r="26">
      <c r="C26" s="8" t="n"/>
      <c r="D26" s="9" t="n"/>
      <c r="E26" s="10" t="inlineStr">
        <is>
          <t>=</t>
        </is>
      </c>
      <c r="F26" s="8" t="n"/>
      <c r="G26" s="9" t="n"/>
      <c r="H26" s="10" t="inlineStr">
        <is>
          <t>+</t>
        </is>
      </c>
      <c r="I26" s="8" t="n"/>
      <c r="J26" s="9" t="n"/>
    </row>
    <row r="27">
      <c r="A27" s="6" t="n">
        <v>11</v>
      </c>
      <c r="B27" s="7" t="inlineStr">
        <is>
          <t>Compra à vista de uma nova prensa por 60</t>
        </is>
      </c>
      <c r="C27" s="8" t="inlineStr">
        <is>
          <t>Caixa</t>
        </is>
      </c>
      <c r="D27" s="9" t="n">
        <v>-60</v>
      </c>
      <c r="E27" s="10" t="inlineStr">
        <is>
          <t>=</t>
        </is>
      </c>
      <c r="F27" s="8" t="n"/>
      <c r="G27" s="9" t="n"/>
      <c r="H27" s="10" t="inlineStr">
        <is>
          <t>+</t>
        </is>
      </c>
      <c r="I27" s="8" t="n"/>
      <c r="J27" s="9" t="n"/>
      <c r="K27" s="6">
        <f>IF(COUNT(D27:D28,G27:G28,J27:J28)=0,"",IF(SUM(D27:D28)-SUM(G27:G28)-SUM(J27:J28)=0,"✔","✗"))</f>
        <v/>
      </c>
    </row>
    <row r="28">
      <c r="C28" s="8" t="inlineStr">
        <is>
          <t>Imobilizado</t>
        </is>
      </c>
      <c r="D28" s="9" t="n">
        <v>60</v>
      </c>
      <c r="E28" s="10" t="inlineStr">
        <is>
          <t>=</t>
        </is>
      </c>
      <c r="F28" s="8" t="n"/>
      <c r="G28" s="9" t="n"/>
      <c r="H28" s="10" t="inlineStr">
        <is>
          <t>+</t>
        </is>
      </c>
      <c r="I28" s="8" t="n"/>
      <c r="J28" s="9" t="n"/>
    </row>
    <row r="29">
      <c r="A29" s="6" t="n">
        <v>12</v>
      </c>
      <c r="B29" s="7" t="inlineStr">
        <is>
          <t>Pagamento de 20 de juros e amortização de 50 do principal da dívida</t>
        </is>
      </c>
      <c r="C29" s="8" t="inlineStr">
        <is>
          <t>Caixa</t>
        </is>
      </c>
      <c r="D29" s="9" t="n">
        <v>-70</v>
      </c>
      <c r="E29" s="10" t="inlineStr">
        <is>
          <t>=</t>
        </is>
      </c>
      <c r="F29" s="8" t="inlineStr">
        <is>
          <t>Empréstimos</t>
        </is>
      </c>
      <c r="G29" s="9" t="n">
        <v>-50</v>
      </c>
      <c r="H29" s="10" t="inlineStr">
        <is>
          <t>+</t>
        </is>
      </c>
      <c r="I29" s="8" t="inlineStr">
        <is>
          <t>Lucros Acumulados</t>
        </is>
      </c>
      <c r="J29" s="9" t="n">
        <v>-20</v>
      </c>
      <c r="K29" s="6">
        <f>IF(COUNT(D29:D30,G29:G30,J29:J30)=0,"",IF(SUM(D29:D30)-SUM(G29:G30)-SUM(J29:J30)=0,"✔","✗"))</f>
        <v/>
      </c>
    </row>
    <row r="30">
      <c r="C30" s="8" t="n"/>
      <c r="D30" s="9" t="n"/>
      <c r="E30" s="10" t="inlineStr">
        <is>
          <t>=</t>
        </is>
      </c>
      <c r="F30" s="8" t="n"/>
      <c r="G30" s="9" t="n"/>
      <c r="H30" s="10" t="inlineStr">
        <is>
          <t>+</t>
        </is>
      </c>
      <c r="I30" s="8" t="n"/>
      <c r="J30" s="9" t="n"/>
    </row>
    <row r="31">
      <c r="A31" s="6" t="n">
        <v>13</v>
      </c>
      <c r="B31" s="7" t="inlineStr">
        <is>
          <t>IR e CSLL do ano: 30, pagos integralmente à vista</t>
        </is>
      </c>
      <c r="C31" s="8" t="inlineStr">
        <is>
          <t>Caixa</t>
        </is>
      </c>
      <c r="D31" s="9" t="n">
        <v>-30</v>
      </c>
      <c r="E31" s="10" t="inlineStr">
        <is>
          <t>=</t>
        </is>
      </c>
      <c r="F31" s="8" t="n"/>
      <c r="G31" s="9" t="n"/>
      <c r="H31" s="10" t="inlineStr">
        <is>
          <t>+</t>
        </is>
      </c>
      <c r="I31" s="8" t="inlineStr">
        <is>
          <t>Lucros Acumulados</t>
        </is>
      </c>
      <c r="J31" s="9" t="n">
        <v>-30</v>
      </c>
      <c r="K31" s="6">
        <f>IF(COUNT(D31:D32,G31:G32,J31:J32)=0,"",IF(SUM(D31:D32)-SUM(G31:G32)-SUM(J31:J32)=0,"✔","✗"))</f>
        <v/>
      </c>
    </row>
    <row r="32">
      <c r="C32" s="8" t="n"/>
      <c r="D32" s="9" t="n"/>
      <c r="E32" s="10" t="inlineStr">
        <is>
          <t>=</t>
        </is>
      </c>
      <c r="F32" s="8" t="n"/>
      <c r="G32" s="9" t="n"/>
      <c r="H32" s="10" t="inlineStr">
        <is>
          <t>+</t>
        </is>
      </c>
      <c r="I32" s="8" t="n"/>
      <c r="J32" s="9" t="n"/>
    </row>
    <row r="33">
      <c r="A33" s="6" t="n">
        <v>14</v>
      </c>
      <c r="B33" s="7" t="inlineStr">
        <is>
          <t>Dividendos de 25 declarados e pagos em dinheiro</t>
        </is>
      </c>
      <c r="C33" s="8" t="inlineStr">
        <is>
          <t>Caixa</t>
        </is>
      </c>
      <c r="D33" s="9" t="n">
        <v>-25</v>
      </c>
      <c r="E33" s="10" t="inlineStr">
        <is>
          <t>=</t>
        </is>
      </c>
      <c r="F33" s="8" t="n"/>
      <c r="G33" s="9" t="n"/>
      <c r="H33" s="10" t="inlineStr">
        <is>
          <t>+</t>
        </is>
      </c>
      <c r="I33" s="8" t="inlineStr">
        <is>
          <t>Lucros Acumulados</t>
        </is>
      </c>
      <c r="J33" s="9" t="n">
        <v>-25</v>
      </c>
      <c r="K33" s="6">
        <f>IF(COUNT(D33:D34,G33:G34,J33:J34)=0,"",IF(SUM(D33:D34)-SUM(G33:G34)-SUM(J33:J34)=0,"✔","✗"))</f>
        <v/>
      </c>
    </row>
    <row r="34">
      <c r="C34" s="8" t="n"/>
      <c r="D34" s="9" t="n"/>
      <c r="E34" s="10" t="inlineStr">
        <is>
          <t>=</t>
        </is>
      </c>
      <c r="F34" s="8" t="n"/>
      <c r="G34" s="9" t="n"/>
      <c r="H34" s="10" t="inlineStr">
        <is>
          <t>+</t>
        </is>
      </c>
      <c r="I34" s="8" t="n"/>
      <c r="J34" s="9" t="n"/>
    </row>
  </sheetData>
  <mergeCells count="46">
    <mergeCell ref="F4:G4"/>
    <mergeCell ref="B27:B28"/>
    <mergeCell ref="K21:K22"/>
    <mergeCell ref="B12:B13"/>
    <mergeCell ref="K33:K34"/>
    <mergeCell ref="B8:B9"/>
    <mergeCell ref="A16:A17"/>
    <mergeCell ref="A6:A7"/>
    <mergeCell ref="B14:B15"/>
    <mergeCell ref="B29:B30"/>
    <mergeCell ref="C4:D4"/>
    <mergeCell ref="B23:B24"/>
    <mergeCell ref="A27:A28"/>
    <mergeCell ref="A12:A13"/>
    <mergeCell ref="A25:A26"/>
    <mergeCell ref="K27:K28"/>
    <mergeCell ref="K12:K13"/>
    <mergeCell ref="B10:B11"/>
    <mergeCell ref="K31:K32"/>
    <mergeCell ref="B6:B7"/>
    <mergeCell ref="A14:A15"/>
    <mergeCell ref="A21:A22"/>
    <mergeCell ref="K18:K20"/>
    <mergeCell ref="A1:D1"/>
    <mergeCell ref="A8:A9"/>
    <mergeCell ref="K14:K15"/>
    <mergeCell ref="K23:K24"/>
    <mergeCell ref="K8:K9"/>
    <mergeCell ref="A33:A34"/>
    <mergeCell ref="A29:A30"/>
    <mergeCell ref="B33:B34"/>
    <mergeCell ref="A23:A24"/>
    <mergeCell ref="A10:A11"/>
    <mergeCell ref="B18:B20"/>
    <mergeCell ref="K10:K11"/>
    <mergeCell ref="I4:J4"/>
    <mergeCell ref="K25:K26"/>
    <mergeCell ref="K16:K17"/>
    <mergeCell ref="B25:B26"/>
    <mergeCell ref="K6:K7"/>
    <mergeCell ref="B16:B17"/>
    <mergeCell ref="A31:A32"/>
    <mergeCell ref="K29:K30"/>
    <mergeCell ref="B21:B22"/>
    <mergeCell ref="A18:A20"/>
    <mergeCell ref="B31:B32"/>
  </mergeCells>
  <dataValidations count="3">
    <dataValidation sqref="C6 C7 C8 C9 C10 C11 C12 C13 C14 C15 C16 C17 C18 C19 C20 C21 C22 C23 C24 C25 C26 C27 C28 C29 C30 C31 C32 C33 C34" showDropDown="0" showInputMessage="0" showErrorMessage="0" allowBlank="1" type="list">
      <formula1>"Caixa,Contas a Receber,Estoque de Matéria-Prima,Produtos em Elaboração,Produtos Acabados,Imobilizado,(-) Depreciação Acumulada"</formula1>
    </dataValidation>
    <dataValidation sqref="F6 F7 F8 F9 F10 F11 F12 F13 F14 F15 F16 F17 F18 F19 F20 F21 F22 F23 F24 F25 F26 F27 F28 F29 F30 F31 F32 F33 F34" showDropDown="0" showInputMessage="0" showErrorMessage="0" allowBlank="1" type="list">
      <formula1>"Fornecedores,Salários a Pagar,Empréstimos"</formula1>
    </dataValidation>
    <dataValidation sqref="I6 I7 I8 I9 I10 I11 I12 I13 I14 I15 I16 I17 I18 I19 I20 I21 I22 I23 I24 I25 I26 I27 I28 I29 I30 I31 I32 I33 I34" showDropDown="0" showInputMessage="0" showErrorMessage="0" allowBlank="1" type="list">
      <formula1>"Capital Social,Lucros Acumulados"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2026-08-11T20:43:59Z</dcterms:created>
  <dcterms:modified xmlns:dcterms="http://purl.org/dc/terms/" xmlns:xsi="http://www.w3.org/2001/XMLSchema-instance" xsi:type="dcterms:W3CDTF">2026-08-11T20:43:59Z</dcterms:modified>
</cp:coreProperties>
</file>