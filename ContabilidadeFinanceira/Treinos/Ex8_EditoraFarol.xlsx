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FC" sheetId="2" state="visible" r:id="rId2"/>
    <sheet xmlns:r="http://schemas.openxmlformats.org/officeDocument/2006/relationships" name="Gabar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&quot;-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b val="1"/>
      <i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3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5" borderId="1" pivotButton="0" quotePrefix="0" xfId="0"/>
    <xf numFmtId="0" fontId="0" fillId="0" borderId="0" applyAlignment="1" pivotButton="0" quotePrefix="0" xfId="0">
      <alignment horizontal="center"/>
    </xf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B1" s="1" t="inlineStr">
        <is>
          <t>Editora Farol S.A.</t>
        </is>
      </c>
    </row>
    <row r="2">
      <c r="B2" s="2" t="inlineStr">
        <is>
          <t>Dados do caso, em R$ mil. Não altera nada nesta aba.</t>
        </is>
      </c>
    </row>
    <row r="4">
      <c r="B4" s="3" t="inlineStr">
        <is>
          <t>Balanço Patrimonial</t>
        </is>
      </c>
      <c r="C4" s="3" t="inlineStr">
        <is>
          <t>Ano 1</t>
        </is>
      </c>
      <c r="D4" s="3" t="inlineStr">
        <is>
          <t>Ano 2</t>
        </is>
      </c>
      <c r="E4" s="3" t="inlineStr">
        <is>
          <t>Variação</t>
        </is>
      </c>
    </row>
    <row r="5">
      <c r="B5" s="4" t="inlineStr">
        <is>
          <t>ATIVO</t>
        </is>
      </c>
    </row>
    <row r="6">
      <c r="B6" s="5" t="inlineStr">
        <is>
          <t>Ativo Circulante</t>
        </is>
      </c>
    </row>
    <row r="7">
      <c r="B7" t="inlineStr">
        <is>
          <t>Caixa e Equivalentes</t>
        </is>
      </c>
      <c r="C7" s="6" t="n">
        <v>90</v>
      </c>
      <c r="D7" s="6" t="n">
        <v>145</v>
      </c>
      <c r="E7" s="6">
        <f>D7-C7</f>
        <v/>
      </c>
    </row>
    <row r="8">
      <c r="B8" t="inlineStr">
        <is>
          <t>Contas a Receber</t>
        </is>
      </c>
      <c r="C8" s="6" t="n">
        <v>320</v>
      </c>
      <c r="D8" s="6" t="n">
        <v>395</v>
      </c>
      <c r="E8" s="6">
        <f>D8-C8</f>
        <v/>
      </c>
    </row>
    <row r="9">
      <c r="B9" t="inlineStr">
        <is>
          <t>Estoques</t>
        </is>
      </c>
      <c r="C9" s="6" t="n">
        <v>210</v>
      </c>
      <c r="D9" s="6" t="n">
        <v>180</v>
      </c>
      <c r="E9" s="6">
        <f>D9-C9</f>
        <v/>
      </c>
    </row>
    <row r="10">
      <c r="B10" t="inlineStr">
        <is>
          <t>Despesas Antecipadas</t>
        </is>
      </c>
      <c r="C10" s="6" t="n">
        <v>15</v>
      </c>
      <c r="D10" s="6" t="n">
        <v>25</v>
      </c>
      <c r="E10" s="6">
        <f>D10-C10</f>
        <v/>
      </c>
    </row>
    <row r="11">
      <c r="B11" s="5" t="inlineStr">
        <is>
          <t>Ativo Não Circulante</t>
        </is>
      </c>
    </row>
    <row r="12">
      <c r="B12" t="inlineStr">
        <is>
          <t>Imobilizado</t>
        </is>
      </c>
      <c r="C12" s="6" t="n">
        <v>800</v>
      </c>
      <c r="D12" s="6" t="n">
        <v>960</v>
      </c>
      <c r="E12" s="6">
        <f>D12-C12</f>
        <v/>
      </c>
    </row>
    <row r="13">
      <c r="B13" t="inlineStr">
        <is>
          <t>(-) Depreciação Acumulada</t>
        </is>
      </c>
      <c r="C13" s="6" t="n">
        <v>-280</v>
      </c>
      <c r="D13" s="6" t="n">
        <v>-340</v>
      </c>
      <c r="E13" s="6">
        <f>D13-C13</f>
        <v/>
      </c>
    </row>
    <row r="14">
      <c r="B14" s="4" t="inlineStr">
        <is>
          <t xml:space="preserve">  Total do Ativo</t>
        </is>
      </c>
      <c r="C14" s="7" t="n">
        <v>1155</v>
      </c>
      <c r="D14" s="7" t="n">
        <v>1365</v>
      </c>
      <c r="E14" s="7">
        <f>D14-C14</f>
        <v/>
      </c>
    </row>
    <row r="15">
      <c r="B15" s="4" t="inlineStr">
        <is>
          <t>PASSIVO E PATRIM. LÍQUIDO</t>
        </is>
      </c>
    </row>
    <row r="16">
      <c r="B16" s="5" t="inlineStr">
        <is>
          <t>Passivo Circulante</t>
        </is>
      </c>
    </row>
    <row r="17">
      <c r="B17" t="inlineStr">
        <is>
          <t>Fornecedores</t>
        </is>
      </c>
      <c r="C17" s="6" t="n">
        <v>240</v>
      </c>
      <c r="D17" s="6" t="n">
        <v>285</v>
      </c>
      <c r="E17" s="6">
        <f>D17-C17</f>
        <v/>
      </c>
    </row>
    <row r="18">
      <c r="B18" t="inlineStr">
        <is>
          <t>Salários e Encargos a Pagar</t>
        </is>
      </c>
      <c r="C18" s="6" t="n">
        <v>45</v>
      </c>
      <c r="D18" s="6" t="n">
        <v>38</v>
      </c>
      <c r="E18" s="6">
        <f>D18-C18</f>
        <v/>
      </c>
    </row>
    <row r="19">
      <c r="B19" t="inlineStr">
        <is>
          <t>IR a Pagar</t>
        </is>
      </c>
      <c r="C19" s="6" t="n">
        <v>30</v>
      </c>
      <c r="D19" s="6" t="n">
        <v>42</v>
      </c>
      <c r="E19" s="6">
        <f>D19-C19</f>
        <v/>
      </c>
    </row>
    <row r="20">
      <c r="B20" t="inlineStr">
        <is>
          <t>Empréstimos de Curto Prazo</t>
        </is>
      </c>
      <c r="C20" s="6" t="n">
        <v>100</v>
      </c>
      <c r="D20" s="6" t="n">
        <v>130</v>
      </c>
      <c r="E20" s="6">
        <f>D20-C20</f>
        <v/>
      </c>
    </row>
    <row r="21">
      <c r="B21" s="5" t="inlineStr">
        <is>
          <t>Passivo Não Circulante</t>
        </is>
      </c>
    </row>
    <row r="22">
      <c r="B22" t="inlineStr">
        <is>
          <t>Empréstimos de Longo Prazo</t>
        </is>
      </c>
      <c r="C22" s="6" t="n">
        <v>260</v>
      </c>
      <c r="D22" s="6" t="n">
        <v>300</v>
      </c>
      <c r="E22" s="6">
        <f>D22-C22</f>
        <v/>
      </c>
    </row>
    <row r="23">
      <c r="B23" s="5" t="inlineStr">
        <is>
          <t>Patrimônio Líquido</t>
        </is>
      </c>
    </row>
    <row r="24">
      <c r="B24" t="inlineStr">
        <is>
          <t>Capital Social</t>
        </is>
      </c>
      <c r="C24" s="6" t="n">
        <v>300</v>
      </c>
      <c r="D24" s="6" t="n">
        <v>350</v>
      </c>
      <c r="E24" s="6">
        <f>D24-C24</f>
        <v/>
      </c>
    </row>
    <row r="25">
      <c r="B25" t="inlineStr">
        <is>
          <t>Lucros Acumulados</t>
        </is>
      </c>
      <c r="C25" s="6" t="n">
        <v>180</v>
      </c>
      <c r="D25" s="6" t="n">
        <v>220</v>
      </c>
      <c r="E25" s="6">
        <f>D25-C25</f>
        <v/>
      </c>
    </row>
    <row r="26">
      <c r="B26" s="4" t="inlineStr">
        <is>
          <t>Total Passivo e Patrim. Líquido</t>
        </is>
      </c>
      <c r="C26" s="7" t="n">
        <v>1155</v>
      </c>
      <c r="D26" s="7" t="n">
        <v>1365</v>
      </c>
      <c r="E26" s="7">
        <f>D26-C26</f>
        <v/>
      </c>
    </row>
    <row r="28">
      <c r="B28" s="3" t="inlineStr">
        <is>
          <t>Demonstração do Resultado do Ano 2</t>
        </is>
      </c>
      <c r="D28" s="3" t="inlineStr">
        <is>
          <t>Ano 2</t>
        </is>
      </c>
    </row>
    <row r="29">
      <c r="B29" t="inlineStr">
        <is>
          <t>Receita Líquida</t>
        </is>
      </c>
      <c r="D29" s="6" t="n">
        <v>1680</v>
      </c>
    </row>
    <row r="30">
      <c r="B30" t="inlineStr">
        <is>
          <t>(-) Custo dos Produtos Vendidos</t>
        </is>
      </c>
      <c r="D30" s="6" t="n">
        <v>-1010</v>
      </c>
    </row>
    <row r="31">
      <c r="B31" s="8" t="inlineStr">
        <is>
          <t xml:space="preserve">     (=) Lucro Bruto</t>
        </is>
      </c>
      <c r="D31" s="7" t="n">
        <v>670</v>
      </c>
    </row>
    <row r="32">
      <c r="B32" t="inlineStr">
        <is>
          <t>(-) Despesas Comerciais e Administrativas</t>
        </is>
      </c>
      <c r="D32" s="6" t="n">
        <v>-400</v>
      </c>
    </row>
    <row r="33">
      <c r="B33" t="inlineStr">
        <is>
          <t>(-) Depreciação</t>
        </is>
      </c>
      <c r="D33" s="6" t="n">
        <v>-95</v>
      </c>
    </row>
    <row r="34">
      <c r="B34" t="inlineStr">
        <is>
          <t>(-) Perda na Venda de Imobilizado</t>
        </is>
      </c>
      <c r="D34" s="6" t="n">
        <v>-12</v>
      </c>
    </row>
    <row r="35">
      <c r="B35" s="8" t="inlineStr">
        <is>
          <t xml:space="preserve">     (=) EBIT</t>
        </is>
      </c>
      <c r="D35" s="7" t="n">
        <v>163</v>
      </c>
    </row>
    <row r="36">
      <c r="B36" t="inlineStr">
        <is>
          <t>(+/-) Resultado Financeiro</t>
        </is>
      </c>
      <c r="D36" s="6" t="n">
        <v>-45</v>
      </c>
    </row>
    <row r="37">
      <c r="B37" s="8" t="inlineStr">
        <is>
          <t xml:space="preserve">     (=) LAIR</t>
        </is>
      </c>
      <c r="D37" s="7" t="n">
        <v>118</v>
      </c>
    </row>
    <row r="38">
      <c r="B38" t="inlineStr">
        <is>
          <t>(-) IR e CSLL</t>
        </is>
      </c>
      <c r="D38" s="6" t="n">
        <v>-38</v>
      </c>
    </row>
    <row r="39">
      <c r="B39" s="8" t="inlineStr">
        <is>
          <t xml:space="preserve">     (=) Lucro Líquido</t>
        </is>
      </c>
      <c r="D39" s="7" t="n">
        <v>80</v>
      </c>
    </row>
    <row r="41">
      <c r="B41" s="3" t="inlineStr">
        <is>
          <t>Informações adicionais</t>
        </is>
      </c>
    </row>
    <row r="42" ht="28" customHeight="1">
      <c r="B42" s="9" t="inlineStr">
        <is>
          <t>1. A empresa vendeu um equipamento à vista por 28. Ele custava 75 e tinha 35 de depreciação acumulada.</t>
        </is>
      </c>
    </row>
    <row r="43" ht="28" customHeight="1">
      <c r="B43" s="9" t="inlineStr">
        <is>
          <t>2. A depreciação registrada no ano foi de 95. Não houve outra baixa de imobilizado além da venda acima.</t>
        </is>
      </c>
    </row>
    <row r="44" ht="28" customHeight="1">
      <c r="B44" s="9" t="inlineStr">
        <is>
          <t>3. Houve aumento de capital em dinheiro durante o ano.</t>
        </is>
      </c>
    </row>
    <row r="45" ht="28" customHeight="1">
      <c r="B45" s="9" t="inlineStr">
        <is>
          <t>4. Captação de novos empréstimos no ano: 180. Amortização de principal: 110.</t>
        </is>
      </c>
    </row>
    <row r="46" ht="28" customHeight="1">
      <c r="B46" s="9" t="inlineStr">
        <is>
          <t>5. Os juros do resultado financeiro foram integralmente pagos em dinheiro no ano.</t>
        </is>
      </c>
    </row>
    <row r="47" ht="28" customHeight="1">
      <c r="B47" s="9" t="inlineStr">
        <is>
          <t>6. Não houve aporte de capital em bens, apenas em dinheiro.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5" customWidth="1" min="3" max="3"/>
    <col width="9" customWidth="1" min="4" max="4"/>
  </cols>
  <sheetData>
    <row r="1">
      <c r="B1" s="1" t="inlineStr">
        <is>
          <t>Editora Farol S.A.  |  Demonstração dos Fluxos de Caixa do Ano 2</t>
        </is>
      </c>
    </row>
    <row r="2">
      <c r="B2" s="2" t="inlineStr">
        <is>
          <t>Deriva tudo dos dois balanços e da DRE da aba Dados. Saídas de caixa entram negativas.</t>
        </is>
      </c>
    </row>
    <row r="4">
      <c r="B4" s="3" t="inlineStr">
        <is>
          <t>PARTE A: FCO pelo método indireto</t>
        </is>
      </c>
      <c r="C4" s="3" t="inlineStr">
        <is>
          <t>Seu valor</t>
        </is>
      </c>
      <c r="D4" s="3" t="inlineStr">
        <is>
          <t>Check</t>
        </is>
      </c>
    </row>
    <row r="5">
      <c r="B5" t="inlineStr">
        <is>
          <t>Lucro Líquido</t>
        </is>
      </c>
      <c r="C5" s="10" t="n"/>
      <c r="D5" s="11">
        <f>IF(C5="","",IF(ABS(C5-Gabarito!C5)&lt;0.5,"✔","✗"))</f>
        <v/>
      </c>
    </row>
    <row r="6">
      <c r="B6" t="inlineStr">
        <is>
          <t>(+) Depreciação</t>
        </is>
      </c>
      <c r="C6" s="10" t="n"/>
      <c r="D6" s="11">
        <f>IF(C6="","",IF(ABS(C6-Gabarito!C6)&lt;0.5,"✔","✗"))</f>
        <v/>
      </c>
    </row>
    <row r="7">
      <c r="B7" t="inlineStr">
        <is>
          <t>(+) Perda na venda de imobilizado</t>
        </is>
      </c>
      <c r="C7" s="10" t="n"/>
      <c r="D7" s="11">
        <f>IF(C7="","",IF(ABS(C7-Gabarito!C7)&lt;0.5,"✔","✗"))</f>
        <v/>
      </c>
    </row>
    <row r="8">
      <c r="B8" t="inlineStr">
        <is>
          <t>(+/-) Variação de Contas a Receber</t>
        </is>
      </c>
      <c r="C8" s="10" t="n"/>
      <c r="D8" s="11">
        <f>IF(C8="","",IF(ABS(C8-Gabarito!C8)&lt;0.5,"✔","✗"))</f>
        <v/>
      </c>
    </row>
    <row r="9">
      <c r="B9" t="inlineStr">
        <is>
          <t>(+/-) Variação de Estoques</t>
        </is>
      </c>
      <c r="C9" s="10" t="n"/>
      <c r="D9" s="11">
        <f>IF(C9="","",IF(ABS(C9-Gabarito!C9)&lt;0.5,"✔","✗"))</f>
        <v/>
      </c>
    </row>
    <row r="10">
      <c r="B10" t="inlineStr">
        <is>
          <t>(+/-) Variação de Despesas Antecipadas</t>
        </is>
      </c>
      <c r="C10" s="10" t="n"/>
      <c r="D10" s="11">
        <f>IF(C10="","",IF(ABS(C10-Gabarito!C10)&lt;0.5,"✔","✗"))</f>
        <v/>
      </c>
    </row>
    <row r="11">
      <c r="B11" t="inlineStr">
        <is>
          <t>(+/-) Variação de Fornecedores</t>
        </is>
      </c>
      <c r="C11" s="10" t="n"/>
      <c r="D11" s="11">
        <f>IF(C11="","",IF(ABS(C11-Gabarito!C11)&lt;0.5,"✔","✗"))</f>
        <v/>
      </c>
    </row>
    <row r="12">
      <c r="B12" t="inlineStr">
        <is>
          <t>(+/-) Variação de Salários a Pagar</t>
        </is>
      </c>
      <c r="C12" s="10" t="n"/>
      <c r="D12" s="11">
        <f>IF(C12="","",IF(ABS(C12-Gabarito!C12)&lt;0.5,"✔","✗"))</f>
        <v/>
      </c>
    </row>
    <row r="13">
      <c r="B13" t="inlineStr">
        <is>
          <t>(+/-) Variação de IR a Pagar</t>
        </is>
      </c>
      <c r="C13" s="10" t="n"/>
      <c r="D13" s="11">
        <f>IF(C13="","",IF(ABS(C13-Gabarito!C13)&lt;0.5,"✔","✗"))</f>
        <v/>
      </c>
    </row>
    <row r="14">
      <c r="B14" s="8" t="inlineStr">
        <is>
          <t xml:space="preserve">     (=) FCO</t>
        </is>
      </c>
      <c r="C14" s="7">
        <f>SUM(C5:C13)</f>
        <v/>
      </c>
    </row>
    <row r="16">
      <c r="B16" s="3" t="inlineStr">
        <is>
          <t>FLUXO DE CAIXA DE INVESTIMENTO</t>
        </is>
      </c>
      <c r="C16" s="3" t="inlineStr">
        <is>
          <t>Seu valor</t>
        </is>
      </c>
      <c r="D16" s="3" t="inlineStr">
        <is>
          <t>Check</t>
        </is>
      </c>
    </row>
    <row r="17">
      <c r="B17" t="inlineStr">
        <is>
          <t>Venda de Imobilizado</t>
        </is>
      </c>
      <c r="C17" s="10" t="n"/>
      <c r="D17" s="11">
        <f>IF(C17="","",IF(ABS(C17-Gabarito!C17)&lt;0.5,"✔","✗"))</f>
        <v/>
      </c>
    </row>
    <row r="18">
      <c r="B18" t="inlineStr">
        <is>
          <t>(-) Aquisição de Imobilizado</t>
        </is>
      </c>
      <c r="C18" s="10" t="n"/>
      <c r="D18" s="11">
        <f>IF(C18="","",IF(ABS(C18-Gabarito!C18)&lt;0.5,"✔","✗"))</f>
        <v/>
      </c>
    </row>
    <row r="19">
      <c r="B19" s="8" t="inlineStr">
        <is>
          <t xml:space="preserve">     (=) FCI</t>
        </is>
      </c>
      <c r="C19" s="7">
        <f>SUM(C17:C18)</f>
        <v/>
      </c>
    </row>
    <row r="21">
      <c r="B21" s="3" t="inlineStr">
        <is>
          <t>FLUXO DE CAIXA DE FINANCIAMENTO</t>
        </is>
      </c>
      <c r="C21" s="3" t="inlineStr">
        <is>
          <t>Seu valor</t>
        </is>
      </c>
      <c r="D21" s="3" t="inlineStr">
        <is>
          <t>Check</t>
        </is>
      </c>
    </row>
    <row r="22">
      <c r="B22" t="inlineStr">
        <is>
          <t>Captação de Empréstimos</t>
        </is>
      </c>
      <c r="C22" s="10" t="n"/>
      <c r="D22" s="11">
        <f>IF(C22="","",IF(ABS(C22-Gabarito!C22)&lt;0.5,"✔","✗"))</f>
        <v/>
      </c>
    </row>
    <row r="23">
      <c r="B23" t="inlineStr">
        <is>
          <t>(-) Amortização de Empréstimos</t>
        </is>
      </c>
      <c r="C23" s="10" t="n"/>
      <c r="D23" s="11">
        <f>IF(C23="","",IF(ABS(C23-Gabarito!C23)&lt;0.5,"✔","✗"))</f>
        <v/>
      </c>
    </row>
    <row r="24">
      <c r="B24" t="inlineStr">
        <is>
          <t>Aumento de Capital</t>
        </is>
      </c>
      <c r="C24" s="10" t="n"/>
      <c r="D24" s="11">
        <f>IF(C24="","",IF(ABS(C24-Gabarito!C24)&lt;0.5,"✔","✗"))</f>
        <v/>
      </c>
    </row>
    <row r="25">
      <c r="B25" t="inlineStr">
        <is>
          <t>(-) Dividendos Pagos</t>
        </is>
      </c>
      <c r="C25" s="10" t="n"/>
      <c r="D25" s="11">
        <f>IF(C25="","",IF(ABS(C25-Gabarito!C25)&lt;0.5,"✔","✗"))</f>
        <v/>
      </c>
    </row>
    <row r="26">
      <c r="B26" s="8" t="inlineStr">
        <is>
          <t xml:space="preserve">     (=) FCF</t>
        </is>
      </c>
      <c r="C26" s="7">
        <f>SUM(C22:C25)</f>
        <v/>
      </c>
    </row>
    <row r="28">
      <c r="B28" s="8" t="inlineStr">
        <is>
          <t>VARIAÇÃO DO CAIXA NO ANO</t>
        </is>
      </c>
      <c r="C28" s="7">
        <f>C14+C19+C26</f>
        <v/>
      </c>
    </row>
    <row r="29">
      <c r="B29" t="inlineStr">
        <is>
          <t>Caixa do balanço do Ano 1</t>
        </is>
      </c>
      <c r="C29" s="6">
        <f>Dados!C7</f>
        <v/>
      </c>
    </row>
    <row r="30">
      <c r="B30" s="8" t="inlineStr">
        <is>
          <t>Caixa do balanço do Ano 2 (calculado)</t>
        </is>
      </c>
      <c r="C30" s="12">
        <f>C29+C28</f>
        <v/>
      </c>
    </row>
    <row r="31">
      <c r="B31" s="13" t="inlineStr">
        <is>
          <t>Confere com o balanço? (tem que dar zero)</t>
        </is>
      </c>
      <c r="C31" s="12">
        <f>C30-Dados!D7</f>
        <v/>
      </c>
      <c r="D31" s="11">
        <f>IF(C31=0,"✔ fecha","✗")</f>
        <v/>
      </c>
    </row>
    <row r="33">
      <c r="B33" s="3" t="inlineStr">
        <is>
          <t>PARTE B: o mesmo FCO pelo método direto</t>
        </is>
      </c>
      <c r="C33" s="3" t="inlineStr">
        <is>
          <t>Seu valor</t>
        </is>
      </c>
      <c r="D33" s="3" t="inlineStr">
        <is>
          <t>Check</t>
        </is>
      </c>
    </row>
    <row r="34">
      <c r="B34" t="inlineStr">
        <is>
          <t>Recebimentos de Clientes</t>
        </is>
      </c>
      <c r="C34" s="10" t="n"/>
      <c r="D34" s="11">
        <f>IF(C34="","",IF(ABS(C34-Gabarito!C34)&lt;0.5,"✔","✗"))</f>
        <v/>
      </c>
    </row>
    <row r="35">
      <c r="B35" t="inlineStr">
        <is>
          <t>(-) Pagamentos a Fornecedores</t>
        </is>
      </c>
      <c r="C35" s="10" t="n"/>
      <c r="D35" s="11">
        <f>IF(C35="","",IF(ABS(C35-Gabarito!C35)&lt;0.5,"✔","✗"))</f>
        <v/>
      </c>
    </row>
    <row r="36">
      <c r="B36" t="inlineStr">
        <is>
          <t>(-) Pagamentos de Salários e Despesas</t>
        </is>
      </c>
      <c r="C36" s="10" t="n"/>
      <c r="D36" s="11">
        <f>IF(C36="","",IF(ABS(C36-Gabarito!C36)&lt;0.5,"✔","✗"))</f>
        <v/>
      </c>
    </row>
    <row r="37">
      <c r="B37" t="inlineStr">
        <is>
          <t>(-) Juros Pagos</t>
        </is>
      </c>
      <c r="C37" s="10" t="n"/>
      <c r="D37" s="11">
        <f>IF(C37="","",IF(ABS(C37-Gabarito!C37)&lt;0.5,"✔","✗"))</f>
        <v/>
      </c>
    </row>
    <row r="38">
      <c r="B38" t="inlineStr">
        <is>
          <t>(-) IR Pago</t>
        </is>
      </c>
      <c r="C38" s="10" t="n"/>
      <c r="D38" s="11">
        <f>IF(C38="","",IF(ABS(C38-Gabarito!C38)&lt;0.5,"✔","✗"))</f>
        <v/>
      </c>
    </row>
    <row r="39">
      <c r="B39" s="8" t="inlineStr">
        <is>
          <t xml:space="preserve">     (=) FCO</t>
        </is>
      </c>
      <c r="C39" s="7">
        <f>SUM(C34:C38)</f>
        <v/>
      </c>
    </row>
    <row r="41">
      <c r="B41" s="13" t="inlineStr">
        <is>
          <t>Direto menos indireto (tem que dar zero)</t>
        </is>
      </c>
      <c r="C41" s="12">
        <f>C39-C14</f>
        <v/>
      </c>
      <c r="D41" s="11">
        <f>IF(C41=0,"✔ bate","✗")</f>
        <v/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5" customWidth="1" min="3" max="3"/>
    <col width="9" customWidth="1" min="4" max="4"/>
  </cols>
  <sheetData>
    <row r="1">
      <c r="B1" s="1" t="inlineStr">
        <is>
          <t>Editora Farol S.A.  |  Demonstração dos Fluxos de Caixa do Ano 2</t>
        </is>
      </c>
    </row>
    <row r="2">
      <c r="B2" s="2" t="inlineStr">
        <is>
          <t>Deriva tudo dos dois balanços e da DRE da aba Dados. Saídas de caixa entram negativas.</t>
        </is>
      </c>
    </row>
    <row r="4">
      <c r="B4" s="3" t="inlineStr">
        <is>
          <t>PARTE A: FCO pelo método indireto</t>
        </is>
      </c>
      <c r="C4" s="3" t="inlineStr">
        <is>
          <t>Seu valor</t>
        </is>
      </c>
      <c r="D4" s="3" t="inlineStr">
        <is>
          <t>Check</t>
        </is>
      </c>
    </row>
    <row r="5">
      <c r="B5" t="inlineStr">
        <is>
          <t>Lucro Líquido</t>
        </is>
      </c>
      <c r="C5" s="10" t="n">
        <v>80</v>
      </c>
    </row>
    <row r="6">
      <c r="B6" t="inlineStr">
        <is>
          <t>(+) Depreciação</t>
        </is>
      </c>
      <c r="C6" s="10" t="n">
        <v>95</v>
      </c>
    </row>
    <row r="7">
      <c r="B7" t="inlineStr">
        <is>
          <t>(+) Perda na venda de imobilizado</t>
        </is>
      </c>
      <c r="C7" s="10" t="n">
        <v>12</v>
      </c>
    </row>
    <row r="8">
      <c r="B8" t="inlineStr">
        <is>
          <t>(+/-) Variação de Contas a Receber</t>
        </is>
      </c>
      <c r="C8" s="10" t="n">
        <v>-75</v>
      </c>
    </row>
    <row r="9">
      <c r="B9" t="inlineStr">
        <is>
          <t>(+/-) Variação de Estoques</t>
        </is>
      </c>
      <c r="C9" s="10" t="n">
        <v>30</v>
      </c>
    </row>
    <row r="10">
      <c r="B10" t="inlineStr">
        <is>
          <t>(+/-) Variação de Despesas Antecipadas</t>
        </is>
      </c>
      <c r="C10" s="10" t="n">
        <v>-10</v>
      </c>
    </row>
    <row r="11">
      <c r="B11" t="inlineStr">
        <is>
          <t>(+/-) Variação de Fornecedores</t>
        </is>
      </c>
      <c r="C11" s="10" t="n">
        <v>45</v>
      </c>
    </row>
    <row r="12">
      <c r="B12" t="inlineStr">
        <is>
          <t>(+/-) Variação de Salários a Pagar</t>
        </is>
      </c>
      <c r="C12" s="10" t="n">
        <v>-7</v>
      </c>
    </row>
    <row r="13">
      <c r="B13" t="inlineStr">
        <is>
          <t>(+/-) Variação de IR a Pagar</t>
        </is>
      </c>
      <c r="C13" s="10" t="n">
        <v>12</v>
      </c>
    </row>
    <row r="14">
      <c r="B14" s="8" t="inlineStr">
        <is>
          <t xml:space="preserve">     (=) FCO</t>
        </is>
      </c>
      <c r="C14" s="7">
        <f>SUM(C5:C13)</f>
        <v/>
      </c>
    </row>
    <row r="16">
      <c r="B16" s="3" t="inlineStr">
        <is>
          <t>FLUXO DE CAIXA DE INVESTIMENTO</t>
        </is>
      </c>
      <c r="C16" s="3" t="inlineStr">
        <is>
          <t>Seu valor</t>
        </is>
      </c>
      <c r="D16" s="3" t="inlineStr">
        <is>
          <t>Check</t>
        </is>
      </c>
    </row>
    <row r="17">
      <c r="B17" t="inlineStr">
        <is>
          <t>Venda de Imobilizado</t>
        </is>
      </c>
      <c r="C17" s="10" t="n">
        <v>28</v>
      </c>
    </row>
    <row r="18">
      <c r="B18" t="inlineStr">
        <is>
          <t>(-) Aquisição de Imobilizado</t>
        </is>
      </c>
      <c r="C18" s="10" t="n">
        <v>-235</v>
      </c>
    </row>
    <row r="19">
      <c r="B19" s="8" t="inlineStr">
        <is>
          <t xml:space="preserve">     (=) FCI</t>
        </is>
      </c>
      <c r="C19" s="7">
        <f>SUM(C17:C18)</f>
        <v/>
      </c>
    </row>
    <row r="21">
      <c r="B21" s="3" t="inlineStr">
        <is>
          <t>FLUXO DE CAIXA DE FINANCIAMENTO</t>
        </is>
      </c>
      <c r="C21" s="3" t="inlineStr">
        <is>
          <t>Seu valor</t>
        </is>
      </c>
      <c r="D21" s="3" t="inlineStr">
        <is>
          <t>Check</t>
        </is>
      </c>
    </row>
    <row r="22">
      <c r="B22" t="inlineStr">
        <is>
          <t>Captação de Empréstimos</t>
        </is>
      </c>
      <c r="C22" s="10" t="n">
        <v>180</v>
      </c>
    </row>
    <row r="23">
      <c r="B23" t="inlineStr">
        <is>
          <t>(-) Amortização de Empréstimos</t>
        </is>
      </c>
      <c r="C23" s="10" t="n">
        <v>-110</v>
      </c>
    </row>
    <row r="24">
      <c r="B24" t="inlineStr">
        <is>
          <t>Aumento de Capital</t>
        </is>
      </c>
      <c r="C24" s="10" t="n">
        <v>50</v>
      </c>
    </row>
    <row r="25">
      <c r="B25" t="inlineStr">
        <is>
          <t>(-) Dividendos Pagos</t>
        </is>
      </c>
      <c r="C25" s="10" t="n">
        <v>-40</v>
      </c>
    </row>
    <row r="26">
      <c r="B26" s="8" t="inlineStr">
        <is>
          <t xml:space="preserve">     (=) FCF</t>
        </is>
      </c>
      <c r="C26" s="7">
        <f>SUM(C22:C25)</f>
        <v/>
      </c>
    </row>
    <row r="28">
      <c r="B28" s="8" t="inlineStr">
        <is>
          <t>VARIAÇÃO DO CAIXA NO ANO</t>
        </is>
      </c>
      <c r="C28" s="7">
        <f>C14+C19+C26</f>
        <v/>
      </c>
    </row>
    <row r="29">
      <c r="B29" t="inlineStr">
        <is>
          <t>Caixa do balanço do Ano 1</t>
        </is>
      </c>
      <c r="C29" s="6">
        <f>Dados!C7</f>
        <v/>
      </c>
    </row>
    <row r="30">
      <c r="B30" s="8" t="inlineStr">
        <is>
          <t>Caixa do balanço do Ano 2 (calculado)</t>
        </is>
      </c>
      <c r="C30" s="12">
        <f>C29+C28</f>
        <v/>
      </c>
    </row>
    <row r="31">
      <c r="B31" s="13" t="inlineStr">
        <is>
          <t>Confere com o balanço? (tem que dar zero)</t>
        </is>
      </c>
      <c r="C31" s="12">
        <f>C30-Dados!D7</f>
        <v/>
      </c>
    </row>
    <row r="33">
      <c r="B33" s="3" t="inlineStr">
        <is>
          <t>PARTE B: o mesmo FCO pelo método direto</t>
        </is>
      </c>
      <c r="C33" s="3" t="inlineStr">
        <is>
          <t>Seu valor</t>
        </is>
      </c>
      <c r="D33" s="3" t="inlineStr">
        <is>
          <t>Check</t>
        </is>
      </c>
    </row>
    <row r="34">
      <c r="B34" t="inlineStr">
        <is>
          <t>Recebimentos de Clientes</t>
        </is>
      </c>
      <c r="C34" s="10" t="n">
        <v>1605</v>
      </c>
    </row>
    <row r="35">
      <c r="B35" t="inlineStr">
        <is>
          <t>(-) Pagamentos a Fornecedores</t>
        </is>
      </c>
      <c r="C35" s="10" t="n">
        <v>-935</v>
      </c>
    </row>
    <row r="36">
      <c r="B36" t="inlineStr">
        <is>
          <t>(-) Pagamentos de Salários e Despesas</t>
        </is>
      </c>
      <c r="C36" s="10" t="n">
        <v>-417</v>
      </c>
    </row>
    <row r="37">
      <c r="B37" t="inlineStr">
        <is>
          <t>(-) Juros Pagos</t>
        </is>
      </c>
      <c r="C37" s="10" t="n">
        <v>-45</v>
      </c>
    </row>
    <row r="38">
      <c r="B38" t="inlineStr">
        <is>
          <t>(-) IR Pago</t>
        </is>
      </c>
      <c r="C38" s="10" t="n">
        <v>-26</v>
      </c>
    </row>
    <row r="39">
      <c r="B39" s="8" t="inlineStr">
        <is>
          <t xml:space="preserve">     (=) FCO</t>
        </is>
      </c>
      <c r="C39" s="7">
        <f>SUM(C34:C38)</f>
        <v/>
      </c>
    </row>
    <row r="41">
      <c r="B41" s="13" t="inlineStr">
        <is>
          <t>Direto menos indireto (tem que dar zero)</t>
        </is>
      </c>
      <c r="C41" s="12">
        <f>C39-C14</f>
        <v/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2026-08-11T20:38:22Z</dcterms:created>
  <dcterms:modified xmlns:dcterms="http://purl.org/dc/terms/" xmlns:xsi="http://www.w3.org/2001/XMLSchema-instance" xsi:type="dcterms:W3CDTF">2026-08-11T20:38:22Z</dcterms:modified>
</cp:coreProperties>
</file>