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rthurmalucelli/FGV/ContabilidadeFinanceira/Treinos/"/>
    </mc:Choice>
  </mc:AlternateContent>
  <xr:revisionPtr revIDLastSave="0" documentId="13_ncr:1_{BC754846-EB9F-B949-AD9B-6112203DAF2B}" xr6:coauthVersionLast="47" xr6:coauthVersionMax="47" xr10:uidLastSave="{00000000-0000-0000-0000-000000000000}"/>
  <bookViews>
    <workbookView xWindow="0" yWindow="660" windowWidth="30240" windowHeight="18980" activeTab="1" xr2:uid="{00000000-000D-0000-FFFF-FFFF00000000}"/>
  </bookViews>
  <sheets>
    <sheet name="Equação" sheetId="1" r:id="rId1"/>
    <sheet name="Plan" sheetId="2" r:id="rId2"/>
    <sheet name="Gabarito" sheetId="3" r:id="rId3"/>
    <sheet name="Gabarito Equaçã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2" l="1"/>
  <c r="K31" i="2"/>
  <c r="J32" i="2"/>
  <c r="I33" i="2"/>
  <c r="G31" i="2"/>
  <c r="D37" i="2" a="1"/>
  <c r="D37" i="2" s="1"/>
  <c r="F14" i="2"/>
  <c r="J14" i="2"/>
  <c r="K7" i="2"/>
  <c r="G23" i="2"/>
  <c r="H24" i="2"/>
  <c r="N6" i="2"/>
  <c r="K6" i="1"/>
  <c r="K20" i="4"/>
  <c r="K18" i="4"/>
  <c r="K16" i="4"/>
  <c r="K14" i="4"/>
  <c r="K12" i="4"/>
  <c r="K10" i="4"/>
  <c r="K8" i="4"/>
  <c r="K6" i="4"/>
  <c r="L37" i="3"/>
  <c r="L36" i="3"/>
  <c r="K36" i="3"/>
  <c r="J36" i="3"/>
  <c r="I36" i="3"/>
  <c r="H36" i="3"/>
  <c r="H38" i="3" s="1"/>
  <c r="G36" i="3"/>
  <c r="F36" i="3"/>
  <c r="E36" i="3"/>
  <c r="D36" i="3"/>
  <c r="L35" i="3"/>
  <c r="L34" i="3"/>
  <c r="K34" i="3"/>
  <c r="J34" i="3"/>
  <c r="I34" i="3"/>
  <c r="H34" i="3"/>
  <c r="G34" i="3"/>
  <c r="F34" i="3"/>
  <c r="E34" i="3"/>
  <c r="D34" i="3"/>
  <c r="L33" i="3"/>
  <c r="L32" i="3"/>
  <c r="L31" i="3"/>
  <c r="L30" i="3" s="1"/>
  <c r="L38" i="3" s="1"/>
  <c r="L40" i="3" s="1"/>
  <c r="L42" i="3" s="1"/>
  <c r="K30" i="3"/>
  <c r="K38" i="3" s="1"/>
  <c r="J30" i="3"/>
  <c r="J38" i="3" s="1"/>
  <c r="I30" i="3"/>
  <c r="I38" i="3" s="1"/>
  <c r="H30" i="3"/>
  <c r="G30" i="3"/>
  <c r="G38" i="3" s="1"/>
  <c r="F30" i="3"/>
  <c r="F38" i="3" s="1"/>
  <c r="E30" i="3"/>
  <c r="E38" i="3" s="1"/>
  <c r="D30" i="3"/>
  <c r="D38" i="3" s="1"/>
  <c r="G27" i="3"/>
  <c r="F27" i="3"/>
  <c r="L26" i="3"/>
  <c r="K25" i="3"/>
  <c r="K27" i="3" s="1"/>
  <c r="J25" i="3"/>
  <c r="J27" i="3" s="1"/>
  <c r="I25" i="3"/>
  <c r="I27" i="3" s="1"/>
  <c r="H25" i="3"/>
  <c r="H27" i="3" s="1"/>
  <c r="G25" i="3"/>
  <c r="F25" i="3"/>
  <c r="E25" i="3"/>
  <c r="E27" i="3" s="1"/>
  <c r="D25" i="3"/>
  <c r="D27" i="3" s="1"/>
  <c r="L24" i="3"/>
  <c r="L23" i="3"/>
  <c r="L25" i="3" s="1"/>
  <c r="L27" i="3" s="1"/>
  <c r="K20" i="3"/>
  <c r="D20" i="3"/>
  <c r="C20" i="3"/>
  <c r="K18" i="3"/>
  <c r="J18" i="3"/>
  <c r="I18" i="3"/>
  <c r="H18" i="3"/>
  <c r="G18" i="3"/>
  <c r="F18" i="3"/>
  <c r="F20" i="3" s="1"/>
  <c r="E18" i="3"/>
  <c r="E20" i="3" s="1"/>
  <c r="D18" i="3"/>
  <c r="C18" i="3"/>
  <c r="L17" i="3"/>
  <c r="L16" i="3"/>
  <c r="L14" i="3"/>
  <c r="L18" i="3" s="1"/>
  <c r="K11" i="3"/>
  <c r="J11" i="3"/>
  <c r="J20" i="3" s="1"/>
  <c r="I11" i="3"/>
  <c r="I20" i="3" s="1"/>
  <c r="H11" i="3"/>
  <c r="H20" i="3" s="1"/>
  <c r="G11" i="3"/>
  <c r="G20" i="3" s="1"/>
  <c r="F11" i="3"/>
  <c r="E11" i="3"/>
  <c r="D11" i="3"/>
  <c r="C11" i="3"/>
  <c r="L10" i="3"/>
  <c r="L11" i="3" s="1"/>
  <c r="L8" i="3"/>
  <c r="L7" i="3"/>
  <c r="L6" i="3"/>
  <c r="K36" i="2"/>
  <c r="J36" i="2"/>
  <c r="I36" i="2"/>
  <c r="H36" i="2"/>
  <c r="G36" i="2"/>
  <c r="F36" i="2"/>
  <c r="E36" i="2"/>
  <c r="L35" i="2"/>
  <c r="L34" i="2" s="1"/>
  <c r="K34" i="2"/>
  <c r="J34" i="2"/>
  <c r="I34" i="2"/>
  <c r="H34" i="2"/>
  <c r="G34" i="2"/>
  <c r="F34" i="2"/>
  <c r="E34" i="2"/>
  <c r="D34" i="2"/>
  <c r="N33" i="2"/>
  <c r="L33" i="2"/>
  <c r="L32" i="2"/>
  <c r="N31" i="2"/>
  <c r="L31" i="2"/>
  <c r="K30" i="2"/>
  <c r="J30" i="2"/>
  <c r="I30" i="2"/>
  <c r="I38" i="2" s="1"/>
  <c r="H30" i="2"/>
  <c r="G30" i="2"/>
  <c r="F30" i="2"/>
  <c r="E30" i="2"/>
  <c r="D30" i="2"/>
  <c r="F27" i="2"/>
  <c r="E27" i="2"/>
  <c r="N26" i="2"/>
  <c r="L26" i="2"/>
  <c r="K25" i="2"/>
  <c r="K27" i="2" s="1"/>
  <c r="J25" i="2"/>
  <c r="J27" i="2" s="1"/>
  <c r="I25" i="2"/>
  <c r="I27" i="2" s="1"/>
  <c r="H25" i="2"/>
  <c r="H27" i="2" s="1"/>
  <c r="G25" i="2"/>
  <c r="G27" i="2" s="1"/>
  <c r="F25" i="2"/>
  <c r="E25" i="2"/>
  <c r="D25" i="2"/>
  <c r="D27" i="2" s="1"/>
  <c r="L24" i="2"/>
  <c r="N24" i="2" s="1"/>
  <c r="L23" i="2"/>
  <c r="D20" i="2"/>
  <c r="K18" i="2"/>
  <c r="J18" i="2"/>
  <c r="I18" i="2"/>
  <c r="H18" i="2"/>
  <c r="G18" i="2"/>
  <c r="F18" i="2"/>
  <c r="E18" i="2"/>
  <c r="D18" i="2"/>
  <c r="C18" i="2"/>
  <c r="L17" i="2"/>
  <c r="L16" i="2"/>
  <c r="L14" i="2"/>
  <c r="N14" i="2" s="1"/>
  <c r="K11" i="2"/>
  <c r="J11" i="2"/>
  <c r="I11" i="2"/>
  <c r="H11" i="2"/>
  <c r="G11" i="2"/>
  <c r="F11" i="2"/>
  <c r="E11" i="2"/>
  <c r="E20" i="2" s="1"/>
  <c r="D11" i="2"/>
  <c r="C11" i="2"/>
  <c r="C20" i="2" s="1"/>
  <c r="L10" i="2"/>
  <c r="N10" i="2" s="1"/>
  <c r="L8" i="2"/>
  <c r="N8" i="2" s="1"/>
  <c r="L7" i="2"/>
  <c r="N7" i="2" s="1"/>
  <c r="L6" i="2"/>
  <c r="K20" i="1"/>
  <c r="K18" i="1"/>
  <c r="K16" i="1"/>
  <c r="K14" i="1"/>
  <c r="K12" i="1"/>
  <c r="K10" i="1"/>
  <c r="K8" i="1"/>
  <c r="N35" i="2" l="1"/>
  <c r="E38" i="2"/>
  <c r="K38" i="2"/>
  <c r="J38" i="2"/>
  <c r="L30" i="2"/>
  <c r="N32" i="2"/>
  <c r="H38" i="2"/>
  <c r="G38" i="2"/>
  <c r="F38" i="2"/>
  <c r="N37" i="2"/>
  <c r="L37" i="2"/>
  <c r="L36" i="2" s="1"/>
  <c r="D36" i="2"/>
  <c r="D38" i="2" s="1"/>
  <c r="L18" i="2"/>
  <c r="F20" i="2"/>
  <c r="L25" i="2"/>
  <c r="L27" i="2" s="1"/>
  <c r="L46" i="2" s="1"/>
  <c r="N23" i="2"/>
  <c r="K20" i="2"/>
  <c r="J20" i="2"/>
  <c r="I20" i="2"/>
  <c r="H20" i="2"/>
  <c r="G20" i="2"/>
  <c r="N17" i="2"/>
  <c r="L11" i="2"/>
  <c r="L47" i="2" s="1"/>
  <c r="N16" i="2"/>
  <c r="L20" i="3"/>
  <c r="L47" i="3"/>
  <c r="L48" i="3"/>
  <c r="L45" i="3"/>
  <c r="L46" i="3"/>
  <c r="L38" i="2" l="1"/>
  <c r="L40" i="2" s="1"/>
  <c r="L42" i="2" s="1"/>
  <c r="N42" i="2" s="1"/>
  <c r="L45" i="2"/>
  <c r="L48" i="2"/>
  <c r="L20" i="2"/>
  <c r="N2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<sst xmlns="http://schemas.openxmlformats.org/spreadsheetml/2006/main" count="261" uniqueCount="70">
  <si>
    <t>Clínica Vetor (serviços veterinários)  |  Efeito das transações na Equação do Balanço</t>
  </si>
  <si>
    <t>Uma linha por movimento: escreve a conta e o valor, com sinal. Transação que mexe em três contas do mesmo lado usa as três linhas. A coluna Check acusa se aquela transação fechou.</t>
  </si>
  <si>
    <t>Nº</t>
  </si>
  <si>
    <t>Descrição</t>
  </si>
  <si>
    <t>ATIVO</t>
  </si>
  <si>
    <t>=</t>
  </si>
  <si>
    <t>PASSIVO</t>
  </si>
  <si>
    <t>+</t>
  </si>
  <si>
    <t>PATRIMÔNIO LÍQUIDO</t>
  </si>
  <si>
    <t>Check</t>
  </si>
  <si>
    <t>conta</t>
  </si>
  <si>
    <t>valor</t>
  </si>
  <si>
    <t>Integralização de capital de R$ 120.000 em dinheiro</t>
  </si>
  <si>
    <t>Compra à vista de equipamentos veterinários por R$ 70.000</t>
  </si>
  <si>
    <t>Compra de medicamentos e insumos por R$ 18.000, integralmente a prazo</t>
  </si>
  <si>
    <t>Serviços prestados no mês: R$ 52.000, sendo R$ 30.000 à vista e R$ 22.000 a receber de convênios</t>
  </si>
  <si>
    <t>Consumo de R$ 11.000 de medicamentos e insumos nos atendimentos do mês</t>
  </si>
  <si>
    <t>Pagamento à vista de salários: R$ 16.000 dos veterinários e R$ 8.000 da recepção e do administrativo</t>
  </si>
  <si>
    <t>Pagamento de R$ 10.000 a fornecedores</t>
  </si>
  <si>
    <t>Recebimento de R$ 9.000 dos convênios</t>
  </si>
  <si>
    <t>Clínica Vetor (serviços veterinários)</t>
  </si>
  <si>
    <t>Transações, por Número e Descrição</t>
  </si>
  <si>
    <t>Mês 1  |  valores em R$</t>
  </si>
  <si>
    <t>Compra de medicamentos e insumos por R$ 18.000, integralment</t>
  </si>
  <si>
    <t>Serviços prestados no mês: R$ 52.000, sendo R$ 30.000 à vist</t>
  </si>
  <si>
    <t>Consumo de R$ 11.000 de medicamentos e insumos nos atendimen</t>
  </si>
  <si>
    <t xml:space="preserve">Pagamento à vista de salários: R$ 16.000 dos veterinários e </t>
  </si>
  <si>
    <t>Balanço Patrimonial</t>
  </si>
  <si>
    <t>Balanço Inicial</t>
  </si>
  <si>
    <t>Balanço Final</t>
  </si>
  <si>
    <t>Ativo Circulante</t>
  </si>
  <si>
    <t>Caixa</t>
  </si>
  <si>
    <t>Contas a Receber</t>
  </si>
  <si>
    <t>Estoque de Insumos</t>
  </si>
  <si>
    <t>Ativo Não Circulante</t>
  </si>
  <si>
    <t>Imobilizado</t>
  </si>
  <si>
    <t xml:space="preserve">  Total do Ativo</t>
  </si>
  <si>
    <t>PASSIVO E PATRIM. LÍQUIDO</t>
  </si>
  <si>
    <t>Passivo Circulante:</t>
  </si>
  <si>
    <t>Contas a Pagar</t>
  </si>
  <si>
    <t>Patrimônio Líquido:</t>
  </si>
  <si>
    <t>Capital Social</t>
  </si>
  <si>
    <t>Lucros Acumulados</t>
  </si>
  <si>
    <t>Total Passivo e Patrim. Líquido</t>
  </si>
  <si>
    <t>Diferença, se houver (tem que dar zero)</t>
  </si>
  <si>
    <t>Demonstração do Resultado</t>
  </si>
  <si>
    <t>Mês 1</t>
  </si>
  <si>
    <t>Receita de Serviços</t>
  </si>
  <si>
    <t>(-) Custo dos Serviços Prestados</t>
  </si>
  <si>
    <t xml:space="preserve">     (=) Lucro Bruto</t>
  </si>
  <si>
    <t>(-) Despesas Operacionais</t>
  </si>
  <si>
    <t xml:space="preserve">     (=) EBIT e Lucro Líquido</t>
  </si>
  <si>
    <t>Demonstração dos Fluxos de Caixa</t>
  </si>
  <si>
    <t>OPERAÇÕES</t>
  </si>
  <si>
    <t>Recebimentos de Clientes</t>
  </si>
  <si>
    <t>Pagamentos a Fornecedores</t>
  </si>
  <si>
    <t>Pagamentos de Salários e Despesas</t>
  </si>
  <si>
    <t>INVESTIMENTOS</t>
  </si>
  <si>
    <t>Aquisição de Imobilizado</t>
  </si>
  <si>
    <t>FINANCIAMENTOS</t>
  </si>
  <si>
    <t>Ingresso de Capital</t>
  </si>
  <si>
    <t>VARIAÇÃO NO CAIXA</t>
  </si>
  <si>
    <t xml:space="preserve">    Saldo inicial de caixa</t>
  </si>
  <si>
    <t xml:space="preserve">    Saldo final de caixa</t>
  </si>
  <si>
    <t>Caixa final da DFC menos Caixa do BP (tem que dar zero)</t>
  </si>
  <si>
    <t>Indicadores (automáticos)</t>
  </si>
  <si>
    <t>Margem bruta</t>
  </si>
  <si>
    <t>Margem líquida</t>
  </si>
  <si>
    <t>% financiado por capital próprio (PL / Ativo)</t>
  </si>
  <si>
    <t>ROE (LL / PL final)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</si>
</sst>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\-#,##0;&quot;-&quot;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9"/>
      <color rgb="FF808080"/>
      <name val="Calibri"/>
      <family val="2"/>
    </font>
    <font>
      <b/>
      <sz val="11"/>
      <name val="Calibri"/>
      <family val="2"/>
    </font>
    <font>
      <i/>
      <sz val="8"/>
      <color rgb="FF808080"/>
      <name val="Calibri"/>
      <family val="2"/>
    </font>
    <font>
      <b/>
      <i/>
      <sz val="9"/>
      <name val="Calibri"/>
      <family val="2"/>
    </font>
    <font>
      <b/>
      <i/>
      <sz val="11"/>
      <name val="Calibri"/>
      <family val="2"/>
    </font>
    <font>
      <b/>
      <sz val="11"/>
      <color rgb="FFC00000"/>
      <name val="Calibri"/>
      <family val="2"/>
    </font>
    <font>
      <b/>
      <sz val="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4" borderId="1" xfId="0" applyFill="1" applyBorder="1"/>
    <xf numFmtId="164" fontId="0" fillId="4" borderId="1" xfId="0" applyNumberFormat="1" applyFill="1" applyBorder="1"/>
    <xf numFmtId="0" fontId="0" fillId="0" borderId="0" xfId="0" applyAlignment="1">
      <alignment horizontal="center"/>
    </xf>
    <xf numFmtId="0" fontId="5" fillId="0" borderId="0" xfId="0" applyFont="1"/>
    <xf numFmtId="0" fontId="4" fillId="0" borderId="0" xfId="0" applyFont="1" applyAlignment="1">
      <alignment wrapText="1"/>
    </xf>
    <xf numFmtId="0" fontId="3" fillId="3" borderId="0" xfId="0" applyFont="1" applyFill="1"/>
    <xf numFmtId="0" fontId="3" fillId="5" borderId="0" xfId="0" applyFont="1" applyFill="1"/>
    <xf numFmtId="0" fontId="6" fillId="0" borderId="0" xfId="0" applyFont="1"/>
    <xf numFmtId="164" fontId="0" fillId="0" borderId="0" xfId="0" applyNumberFormat="1"/>
    <xf numFmtId="164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0" xfId="0" applyFont="1"/>
    <xf numFmtId="164" fontId="3" fillId="5" borderId="0" xfId="0" applyNumberFormat="1" applyFont="1" applyFill="1"/>
    <xf numFmtId="0" fontId="7" fillId="0" borderId="0" xfId="0" applyFont="1"/>
    <xf numFmtId="0" fontId="8" fillId="0" borderId="0" xfId="0" applyFont="1"/>
    <xf numFmtId="165" fontId="3" fillId="0" borderId="0" xfId="0" applyNumberFormat="1" applyFont="1"/>
    <xf numFmtId="0" fontId="3" fillId="3" borderId="0" xfId="0" applyFont="1" applyFill="1" applyAlignment="1">
      <alignment horizontal="center"/>
    </xf>
    <xf numFmtId="0" fontId="0" fillId="3" borderId="0" xfId="0" applyFill="1"/>
    <xf numFmtId="0" fontId="0" fillId="0" borderId="0" xfId="0" applyAlignment="1">
      <alignment vertical="center" wrapText="1"/>
    </xf>
    <xf numFmtId="0" fontId="0" fillId="0" borderId="0" xfId="0"/>
    <xf numFmtId="0" fontId="3" fillId="0" borderId="0" xfId="0" applyFont="1" applyAlignment="1">
      <alignment horizontal="center" vertical="center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showGridLines="0" zoomScale="134" workbookViewId="0">
      <pane xSplit="2" ySplit="5" topLeftCell="C6" activePane="bottomRight" state="frozen"/>
      <selection pane="topRight"/>
      <selection pane="bottomLeft"/>
      <selection pane="bottomRight" activeCell="C14" sqref="C14"/>
    </sheetView>
  </sheetViews>
  <sheetFormatPr baseColWidth="10" defaultColWidth="8.83203125" defaultRowHeight="15" x14ac:dyDescent="0.2"/>
  <cols>
    <col min="1" max="1" width="5" customWidth="1"/>
    <col min="2" max="2" width="46" customWidth="1"/>
    <col min="3" max="3" width="24" customWidth="1"/>
    <col min="4" max="4" width="13" customWidth="1"/>
    <col min="5" max="5" width="3" customWidth="1"/>
    <col min="6" max="6" width="24" customWidth="1"/>
    <col min="7" max="7" width="13" customWidth="1"/>
    <col min="8" max="8" width="3" customWidth="1"/>
    <col min="9" max="9" width="20" customWidth="1"/>
    <col min="10" max="10" width="13" customWidth="1"/>
    <col min="11" max="11" width="8" customWidth="1"/>
  </cols>
  <sheetData>
    <row r="1" spans="1:11" x14ac:dyDescent="0.2">
      <c r="A1" s="25" t="s">
        <v>0</v>
      </c>
      <c r="B1" s="23"/>
      <c r="C1" s="23"/>
      <c r="D1" s="23"/>
    </row>
    <row r="2" spans="1:11" x14ac:dyDescent="0.2">
      <c r="A2" s="1" t="s">
        <v>1</v>
      </c>
    </row>
    <row r="4" spans="1:11" x14ac:dyDescent="0.2">
      <c r="A4" s="2" t="s">
        <v>2</v>
      </c>
      <c r="B4" s="2" t="s">
        <v>3</v>
      </c>
      <c r="C4" s="20" t="s">
        <v>4</v>
      </c>
      <c r="D4" s="21"/>
      <c r="E4" s="2" t="s">
        <v>5</v>
      </c>
      <c r="F4" s="20" t="s">
        <v>6</v>
      </c>
      <c r="G4" s="21"/>
      <c r="H4" s="2" t="s">
        <v>7</v>
      </c>
      <c r="I4" s="20" t="s">
        <v>8</v>
      </c>
      <c r="J4" s="21"/>
      <c r="K4" s="2" t="s">
        <v>9</v>
      </c>
    </row>
    <row r="5" spans="1:11" x14ac:dyDescent="0.2">
      <c r="C5" s="3" t="s">
        <v>10</v>
      </c>
      <c r="D5" s="3" t="s">
        <v>11</v>
      </c>
      <c r="F5" s="3" t="s">
        <v>10</v>
      </c>
      <c r="G5" s="3" t="s">
        <v>11</v>
      </c>
      <c r="I5" s="3" t="s">
        <v>10</v>
      </c>
      <c r="J5" s="3" t="s">
        <v>11</v>
      </c>
    </row>
    <row r="6" spans="1:11" x14ac:dyDescent="0.2">
      <c r="A6" s="24">
        <v>1</v>
      </c>
      <c r="B6" s="22" t="s">
        <v>12</v>
      </c>
      <c r="C6" s="4" t="s">
        <v>31</v>
      </c>
      <c r="D6" s="5">
        <v>120000</v>
      </c>
      <c r="E6" s="6" t="s">
        <v>5</v>
      </c>
      <c r="F6" s="4"/>
      <c r="G6" s="5"/>
      <c r="H6" s="6" t="s">
        <v>7</v>
      </c>
      <c r="I6" s="4" t="s">
        <v>41</v>
      </c>
      <c r="J6" s="5">
        <v>120000</v>
      </c>
      <c r="K6" s="24" t="str">
        <f>IF(COUNT(D6:D7,G6:G7,J6:J7)=0,"",IF(SUM(D6:D7)-SUM(G6:G7)-SUM(J6:J7)=0,"✔","✗"))</f>
        <v>✔</v>
      </c>
    </row>
    <row r="7" spans="1:11" x14ac:dyDescent="0.2">
      <c r="A7" s="23"/>
      <c r="B7" s="23"/>
      <c r="C7" s="4"/>
      <c r="D7" s="5"/>
      <c r="E7" s="6" t="s">
        <v>5</v>
      </c>
      <c r="F7" s="4"/>
      <c r="G7" s="5"/>
      <c r="H7" s="6" t="s">
        <v>7</v>
      </c>
      <c r="I7" s="4"/>
      <c r="J7" s="5"/>
      <c r="K7" s="23"/>
    </row>
    <row r="8" spans="1:11" x14ac:dyDescent="0.2">
      <c r="A8" s="24">
        <v>2</v>
      </c>
      <c r="B8" s="22" t="s">
        <v>13</v>
      </c>
      <c r="C8" s="4" t="s">
        <v>33</v>
      </c>
      <c r="D8" s="5">
        <v>70000</v>
      </c>
      <c r="E8" s="6" t="s">
        <v>5</v>
      </c>
      <c r="F8" s="4"/>
      <c r="G8" s="5"/>
      <c r="H8" s="6" t="s">
        <v>7</v>
      </c>
      <c r="I8" s="4"/>
      <c r="J8" s="5"/>
      <c r="K8" s="24" t="str">
        <f>IF(COUNT(D8:D9,G8:G9,J8:J9)=0,"",IF(SUM(D8:D9)-SUM(G8:G9)-SUM(J8:J9)=0,"✔","✗"))</f>
        <v>✔</v>
      </c>
    </row>
    <row r="9" spans="1:11" x14ac:dyDescent="0.2">
      <c r="A9" s="23"/>
      <c r="B9" s="23"/>
      <c r="C9" s="4" t="s">
        <v>31</v>
      </c>
      <c r="D9" s="5">
        <v>-70000</v>
      </c>
      <c r="E9" s="6" t="s">
        <v>5</v>
      </c>
      <c r="F9" s="4"/>
      <c r="G9" s="5"/>
      <c r="H9" s="6" t="s">
        <v>7</v>
      </c>
      <c r="I9" s="4"/>
      <c r="J9" s="5"/>
      <c r="K9" s="23"/>
    </row>
    <row r="10" spans="1:11" x14ac:dyDescent="0.2">
      <c r="A10" s="24">
        <v>3</v>
      </c>
      <c r="B10" s="22" t="s">
        <v>14</v>
      </c>
      <c r="C10" s="4" t="s">
        <v>33</v>
      </c>
      <c r="D10" s="5">
        <v>18000</v>
      </c>
      <c r="E10" s="6" t="s">
        <v>5</v>
      </c>
      <c r="F10" s="4" t="s">
        <v>39</v>
      </c>
      <c r="G10" s="5">
        <v>18000</v>
      </c>
      <c r="H10" s="6" t="s">
        <v>7</v>
      </c>
      <c r="I10" s="4"/>
      <c r="J10" s="5"/>
      <c r="K10" s="24" t="str">
        <f>IF(COUNT(D10:D11,G10:G11,J10:J11)=0,"",IF(SUM(D10:D11)-SUM(G10:G11)-SUM(J10:J11)=0,"✔","✗"))</f>
        <v>✔</v>
      </c>
    </row>
    <row r="11" spans="1:11" x14ac:dyDescent="0.2">
      <c r="A11" s="23"/>
      <c r="B11" s="23"/>
      <c r="C11" s="4"/>
      <c r="D11" s="5"/>
      <c r="E11" s="6" t="s">
        <v>5</v>
      </c>
      <c r="F11" s="4"/>
      <c r="G11" s="5"/>
      <c r="H11" s="6" t="s">
        <v>7</v>
      </c>
      <c r="I11" s="4"/>
      <c r="J11" s="5"/>
      <c r="K11" s="23"/>
    </row>
    <row r="12" spans="1:11" x14ac:dyDescent="0.2">
      <c r="A12" s="24">
        <v>4</v>
      </c>
      <c r="B12" s="22" t="s">
        <v>15</v>
      </c>
      <c r="C12" s="4" t="s">
        <v>32</v>
      </c>
      <c r="D12" s="5">
        <v>22000</v>
      </c>
      <c r="E12" s="6" t="s">
        <v>5</v>
      </c>
      <c r="F12" s="4"/>
      <c r="G12" s="5"/>
      <c r="H12" s="6" t="s">
        <v>7</v>
      </c>
      <c r="I12" s="4" t="s">
        <v>42</v>
      </c>
      <c r="J12" s="5">
        <v>52000</v>
      </c>
      <c r="K12" s="24" t="str">
        <f>IF(COUNT(D12:D13,G12:G13,J12:J13)=0,"",IF(SUM(D12:D13)-SUM(G12:G13)-SUM(J12:J13)=0,"✔","✗"))</f>
        <v>✔</v>
      </c>
    </row>
    <row r="13" spans="1:11" x14ac:dyDescent="0.2">
      <c r="A13" s="23"/>
      <c r="B13" s="23"/>
      <c r="C13" s="4" t="s">
        <v>31</v>
      </c>
      <c r="D13" s="5">
        <v>30000</v>
      </c>
      <c r="E13" s="6" t="s">
        <v>5</v>
      </c>
      <c r="F13" s="4"/>
      <c r="G13" s="5"/>
      <c r="H13" s="6" t="s">
        <v>7</v>
      </c>
      <c r="I13" s="4"/>
      <c r="J13" s="5"/>
      <c r="K13" s="23"/>
    </row>
    <row r="14" spans="1:11" x14ac:dyDescent="0.2">
      <c r="A14" s="24">
        <v>5</v>
      </c>
      <c r="B14" s="22" t="s">
        <v>16</v>
      </c>
      <c r="C14" s="4" t="s">
        <v>33</v>
      </c>
      <c r="D14" s="5">
        <v>-11000</v>
      </c>
      <c r="E14" s="6" t="s">
        <v>5</v>
      </c>
      <c r="F14" s="4"/>
      <c r="G14" s="5"/>
      <c r="H14" s="6" t="s">
        <v>7</v>
      </c>
      <c r="I14" s="4" t="s">
        <v>42</v>
      </c>
      <c r="J14" s="5">
        <v>-11000</v>
      </c>
      <c r="K14" s="24" t="str">
        <f>IF(COUNT(D14:D15,G14:G15,J14:J15)=0,"",IF(SUM(D14:D15)-SUM(G14:G15)-SUM(J14:J15)=0,"✔","✗"))</f>
        <v>✔</v>
      </c>
    </row>
    <row r="15" spans="1:11" x14ac:dyDescent="0.2">
      <c r="A15" s="23"/>
      <c r="B15" s="23"/>
      <c r="C15" s="4"/>
      <c r="D15" s="5"/>
      <c r="E15" s="6" t="s">
        <v>5</v>
      </c>
      <c r="F15" s="4"/>
      <c r="G15" s="5"/>
      <c r="H15" s="6" t="s">
        <v>7</v>
      </c>
      <c r="I15" s="4"/>
      <c r="J15" s="5"/>
      <c r="K15" s="23"/>
    </row>
    <row r="16" spans="1:11" x14ac:dyDescent="0.2">
      <c r="A16" s="24">
        <v>6</v>
      </c>
      <c r="B16" s="22" t="s">
        <v>17</v>
      </c>
      <c r="C16" s="4" t="s">
        <v>31</v>
      </c>
      <c r="D16" s="5">
        <v>-16000</v>
      </c>
      <c r="E16" s="6" t="s">
        <v>5</v>
      </c>
      <c r="F16" s="4"/>
      <c r="G16" s="5"/>
      <c r="H16" s="6" t="s">
        <v>7</v>
      </c>
      <c r="I16" s="4" t="s">
        <v>42</v>
      </c>
      <c r="J16" s="5">
        <v>-24000</v>
      </c>
      <c r="K16" s="24" t="str">
        <f>IF(COUNT(D16:D17,G16:G17,J16:J17)=0,"",IF(SUM(D16:D17)-SUM(G16:G17)-SUM(J16:J17)=0,"✔","✗"))</f>
        <v>✔</v>
      </c>
    </row>
    <row r="17" spans="1:11" x14ac:dyDescent="0.2">
      <c r="A17" s="23"/>
      <c r="B17" s="23"/>
      <c r="C17" s="4" t="s">
        <v>31</v>
      </c>
      <c r="D17" s="5">
        <v>-8000</v>
      </c>
      <c r="E17" s="6" t="s">
        <v>5</v>
      </c>
      <c r="F17" s="4"/>
      <c r="G17" s="5"/>
      <c r="H17" s="6" t="s">
        <v>7</v>
      </c>
      <c r="I17" s="4"/>
      <c r="J17" s="5"/>
      <c r="K17" s="23"/>
    </row>
    <row r="18" spans="1:11" x14ac:dyDescent="0.2">
      <c r="A18" s="24">
        <v>7</v>
      </c>
      <c r="B18" s="22" t="s">
        <v>18</v>
      </c>
      <c r="C18" s="4" t="s">
        <v>31</v>
      </c>
      <c r="D18" s="5">
        <v>-10000</v>
      </c>
      <c r="E18" s="6" t="s">
        <v>5</v>
      </c>
      <c r="F18" s="4"/>
      <c r="G18" s="5"/>
      <c r="H18" s="6" t="s">
        <v>7</v>
      </c>
      <c r="I18" s="4" t="s">
        <v>42</v>
      </c>
      <c r="J18" s="5">
        <v>-10000</v>
      </c>
      <c r="K18" s="24" t="str">
        <f>IF(COUNT(D18:D19,G18:G19,J18:J19)=0,"",IF(SUM(D18:D19)-SUM(G18:G19)-SUM(J18:J19)=0,"✔","✗"))</f>
        <v>✔</v>
      </c>
    </row>
    <row r="19" spans="1:11" x14ac:dyDescent="0.2">
      <c r="A19" s="23"/>
      <c r="B19" s="23"/>
      <c r="C19" s="4"/>
      <c r="D19" s="5"/>
      <c r="E19" s="6" t="s">
        <v>5</v>
      </c>
      <c r="F19" s="4"/>
      <c r="G19" s="5"/>
      <c r="H19" s="6" t="s">
        <v>7</v>
      </c>
      <c r="I19" s="4"/>
      <c r="J19" s="5"/>
      <c r="K19" s="23"/>
    </row>
    <row r="20" spans="1:11" x14ac:dyDescent="0.2">
      <c r="A20" s="24">
        <v>8</v>
      </c>
      <c r="B20" s="22" t="s">
        <v>19</v>
      </c>
      <c r="C20" s="4" t="s">
        <v>31</v>
      </c>
      <c r="D20" s="5">
        <v>9000</v>
      </c>
      <c r="E20" s="6" t="s">
        <v>5</v>
      </c>
      <c r="F20" s="4"/>
      <c r="G20" s="5"/>
      <c r="H20" s="6" t="s">
        <v>7</v>
      </c>
      <c r="I20" s="4" t="s">
        <v>42</v>
      </c>
      <c r="J20" s="5">
        <v>9000</v>
      </c>
      <c r="K20" s="24" t="str">
        <f>IF(COUNT(D20:D21,G20:G21,J20:J21)=0,"",IF(SUM(D20:D21)-SUM(G20:G21)-SUM(J20:J21)=0,"✔","✗"))</f>
        <v>✔</v>
      </c>
    </row>
    <row r="21" spans="1:11" x14ac:dyDescent="0.2">
      <c r="A21" s="23"/>
      <c r="B21" s="23"/>
      <c r="C21" s="4"/>
      <c r="D21" s="5"/>
      <c r="E21" s="6" t="s">
        <v>5</v>
      </c>
      <c r="F21" s="4"/>
      <c r="G21" s="5"/>
      <c r="H21" s="6" t="s">
        <v>7</v>
      </c>
      <c r="I21" s="4"/>
      <c r="J21" s="5"/>
      <c r="K21" s="23"/>
    </row>
  </sheetData>
  <mergeCells count="28">
    <mergeCell ref="A1:D1"/>
    <mergeCell ref="A8:A9"/>
    <mergeCell ref="K14:K15"/>
    <mergeCell ref="K20:K21"/>
    <mergeCell ref="K8:K9"/>
    <mergeCell ref="A20:A21"/>
    <mergeCell ref="B20:B21"/>
    <mergeCell ref="A10:A11"/>
    <mergeCell ref="K10:K11"/>
    <mergeCell ref="I4:J4"/>
    <mergeCell ref="K16:K17"/>
    <mergeCell ref="K6:K7"/>
    <mergeCell ref="B16:B17"/>
    <mergeCell ref="K18:K19"/>
    <mergeCell ref="K12:K13"/>
    <mergeCell ref="B10:B11"/>
    <mergeCell ref="B6:B7"/>
    <mergeCell ref="A18:A19"/>
    <mergeCell ref="A14:A15"/>
    <mergeCell ref="F4:G4"/>
    <mergeCell ref="B12:B13"/>
    <mergeCell ref="B18:B19"/>
    <mergeCell ref="B8:B9"/>
    <mergeCell ref="A16:A17"/>
    <mergeCell ref="A6:A7"/>
    <mergeCell ref="B14:B15"/>
    <mergeCell ref="C4:D4"/>
    <mergeCell ref="A12:A13"/>
  </mergeCells>
  <dataValidations count="3">
    <dataValidation type="list" allowBlank="1" sqref="C6 C7 C8 C9 C10 C11 C12 C13 C14 C15 C16 C17 C18 C19 C20 C21" xr:uid="{00000000-0002-0000-0000-000000000000}">
      <formula1>"Caixa,Contas a Receber,Estoque de Insumos,Imobilizado"</formula1>
    </dataValidation>
    <dataValidation type="list" allowBlank="1" sqref="F6 F7 F8 F9 F10 F11 F12 F13 F14 F15 F16 F17 F18 F19 F20 F21" xr:uid="{00000000-0002-0000-0000-000001000000}">
      <formula1>"Contas a Pagar"</formula1>
    </dataValidation>
    <dataValidation type="list" allowBlank="1" sqref="I6 I7 I8 I9 I10 I11 I12 I13 I14 I15 I16 I17 I18 I19 I20 I21" xr:uid="{00000000-0002-0000-0000-000002000000}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N48"/>
  <sheetViews>
    <sheetView showGridLines="0" tabSelected="1" zoomScale="119" workbookViewId="0">
      <pane xSplit="2" ySplit="3" topLeftCell="C4" activePane="bottomRight" state="frozen"/>
      <selection pane="topRight"/>
      <selection pane="bottomLeft"/>
      <selection pane="bottomRight" activeCell="H21" sqref="H21"/>
    </sheetView>
  </sheetViews>
  <sheetFormatPr baseColWidth="10" defaultColWidth="8.83203125" defaultRowHeight="15" x14ac:dyDescent="0.2"/>
  <cols>
    <col min="1" max="1" width="4" customWidth="1"/>
    <col min="2" max="2" width="38" customWidth="1"/>
    <col min="3" max="12" width="13" customWidth="1"/>
    <col min="13" max="13" width="3" customWidth="1"/>
    <col min="14" max="14" width="13" customWidth="1"/>
  </cols>
  <sheetData>
    <row r="1" spans="2:14" x14ac:dyDescent="0.2">
      <c r="B1" s="25" t="s">
        <v>20</v>
      </c>
      <c r="C1" s="23"/>
      <c r="D1" s="7" t="s">
        <v>21</v>
      </c>
    </row>
    <row r="2" spans="2:14" ht="49" customHeight="1" x14ac:dyDescent="0.2">
      <c r="B2" s="1" t="s">
        <v>22</v>
      </c>
      <c r="D2" s="8" t="s">
        <v>12</v>
      </c>
      <c r="E2" s="8" t="s">
        <v>13</v>
      </c>
      <c r="F2" s="8" t="s">
        <v>23</v>
      </c>
      <c r="G2" s="8" t="s">
        <v>24</v>
      </c>
      <c r="H2" s="8" t="s">
        <v>25</v>
      </c>
      <c r="I2" s="8" t="s">
        <v>26</v>
      </c>
      <c r="J2" s="8" t="s">
        <v>18</v>
      </c>
      <c r="K2" s="8" t="s">
        <v>19</v>
      </c>
    </row>
    <row r="3" spans="2:14" x14ac:dyDescent="0.2">
      <c r="B3" s="9" t="s">
        <v>27</v>
      </c>
      <c r="C3" s="9" t="s">
        <v>28</v>
      </c>
      <c r="D3" s="2">
        <v>1</v>
      </c>
      <c r="E3" s="2">
        <v>2</v>
      </c>
      <c r="F3" s="2">
        <v>3</v>
      </c>
      <c r="G3" s="2">
        <v>4</v>
      </c>
      <c r="H3" s="2">
        <v>5</v>
      </c>
      <c r="I3" s="2">
        <v>6</v>
      </c>
      <c r="J3" s="2">
        <v>7</v>
      </c>
      <c r="K3" s="2">
        <v>8</v>
      </c>
      <c r="L3" s="9" t="s">
        <v>29</v>
      </c>
    </row>
    <row r="4" spans="2:14" x14ac:dyDescent="0.2">
      <c r="B4" s="10" t="s">
        <v>4</v>
      </c>
    </row>
    <row r="5" spans="2:14" x14ac:dyDescent="0.2">
      <c r="B5" s="11" t="s">
        <v>30</v>
      </c>
    </row>
    <row r="6" spans="2:14" x14ac:dyDescent="0.2">
      <c r="B6" t="s">
        <v>31</v>
      </c>
      <c r="C6" s="12"/>
      <c r="D6" s="5">
        <v>120000</v>
      </c>
      <c r="E6" s="5">
        <v>-70000</v>
      </c>
      <c r="F6" s="5"/>
      <c r="G6" s="5">
        <v>30000</v>
      </c>
      <c r="H6" s="5"/>
      <c r="I6" s="5">
        <v>-24000</v>
      </c>
      <c r="J6" s="5">
        <v>-10000</v>
      </c>
      <c r="K6" s="5">
        <v>9000</v>
      </c>
      <c r="L6" s="13">
        <f>C6+SUM(D6:K6)</f>
        <v>55000</v>
      </c>
      <c r="N6" s="14" t="str">
        <f>IF(COUNT(D6:K6)=0,"",IF(ABS(L6-Gabarito!L6)&lt;0.5,"✔","✗"))</f>
        <v>✔</v>
      </c>
    </row>
    <row r="7" spans="2:14" x14ac:dyDescent="0.2">
      <c r="B7" t="s">
        <v>32</v>
      </c>
      <c r="C7" s="12"/>
      <c r="D7" s="5"/>
      <c r="E7" s="5"/>
      <c r="F7" s="5"/>
      <c r="G7" s="5">
        <v>22000</v>
      </c>
      <c r="H7" s="5"/>
      <c r="I7" s="5"/>
      <c r="J7" s="5"/>
      <c r="K7" s="5">
        <f>-K6</f>
        <v>-9000</v>
      </c>
      <c r="L7" s="13">
        <f>C7+SUM(D7:K7)</f>
        <v>13000</v>
      </c>
      <c r="N7" s="14" t="str">
        <f>IF(COUNT(D7:K7)=0,"",IF(ABS(L7-Gabarito!L7)&lt;0.5,"✔","✗"))</f>
        <v>✔</v>
      </c>
    </row>
    <row r="8" spans="2:14" x14ac:dyDescent="0.2">
      <c r="B8" t="s">
        <v>33</v>
      </c>
      <c r="C8" s="12"/>
      <c r="D8" s="5"/>
      <c r="E8" s="5"/>
      <c r="F8" s="5">
        <v>18000</v>
      </c>
      <c r="G8" s="5"/>
      <c r="H8" s="5">
        <v>-11000</v>
      </c>
      <c r="I8" s="5"/>
      <c r="J8" s="5"/>
      <c r="K8" s="5"/>
      <c r="L8" s="13">
        <f>C8+SUM(D8:K8)</f>
        <v>7000</v>
      </c>
      <c r="N8" s="14" t="str">
        <f>IF(COUNT(D8:K8)=0,"",IF(ABS(L8-Gabarito!L8)&lt;0.5,"✔","✗"))</f>
        <v>✔</v>
      </c>
    </row>
    <row r="9" spans="2:14" x14ac:dyDescent="0.2">
      <c r="B9" s="11" t="s">
        <v>34</v>
      </c>
    </row>
    <row r="10" spans="2:14" x14ac:dyDescent="0.2">
      <c r="B10" t="s">
        <v>35</v>
      </c>
      <c r="C10" s="12"/>
      <c r="D10" s="5"/>
      <c r="E10" s="5">
        <v>70000</v>
      </c>
      <c r="F10" s="5"/>
      <c r="G10" s="5"/>
      <c r="H10" s="5"/>
      <c r="I10" s="5"/>
      <c r="J10" s="5"/>
      <c r="K10" s="5"/>
      <c r="L10" s="13">
        <f>C10+SUM(D10:K10)</f>
        <v>70000</v>
      </c>
      <c r="N10" s="14" t="str">
        <f>IF(COUNT(D10:K10)=0,"",IF(ABS(L10-Gabarito!L10)&lt;0.5,"✔","✗"))</f>
        <v>✔</v>
      </c>
    </row>
    <row r="11" spans="2:14" x14ac:dyDescent="0.2">
      <c r="B11" s="15" t="s">
        <v>36</v>
      </c>
      <c r="C11" s="16">
        <f t="shared" ref="C11:L11" si="0">SUM(C6:C10)</f>
        <v>0</v>
      </c>
      <c r="D11" s="16">
        <f t="shared" si="0"/>
        <v>120000</v>
      </c>
      <c r="E11" s="16">
        <f t="shared" si="0"/>
        <v>0</v>
      </c>
      <c r="F11" s="16">
        <f t="shared" si="0"/>
        <v>18000</v>
      </c>
      <c r="G11" s="16">
        <f t="shared" si="0"/>
        <v>52000</v>
      </c>
      <c r="H11" s="16">
        <f t="shared" si="0"/>
        <v>-11000</v>
      </c>
      <c r="I11" s="16">
        <f t="shared" si="0"/>
        <v>-24000</v>
      </c>
      <c r="J11" s="16">
        <f t="shared" si="0"/>
        <v>-10000</v>
      </c>
      <c r="K11" s="16">
        <f t="shared" si="0"/>
        <v>0</v>
      </c>
      <c r="L11" s="16">
        <f t="shared" si="0"/>
        <v>145000</v>
      </c>
    </row>
    <row r="12" spans="2:14" x14ac:dyDescent="0.2">
      <c r="B12" s="10" t="s">
        <v>37</v>
      </c>
    </row>
    <row r="13" spans="2:14" x14ac:dyDescent="0.2">
      <c r="B13" s="11" t="s">
        <v>38</v>
      </c>
    </row>
    <row r="14" spans="2:14" x14ac:dyDescent="0.2">
      <c r="B14" t="s">
        <v>39</v>
      </c>
      <c r="C14" s="12"/>
      <c r="D14" s="5"/>
      <c r="E14" s="5"/>
      <c r="F14" s="5">
        <f>+F8</f>
        <v>18000</v>
      </c>
      <c r="G14" s="5"/>
      <c r="H14" s="5"/>
      <c r="I14" s="5"/>
      <c r="J14" s="5">
        <f>J6</f>
        <v>-10000</v>
      </c>
      <c r="K14" s="5"/>
      <c r="L14" s="13">
        <f>C14+SUM(D14:K14)</f>
        <v>8000</v>
      </c>
      <c r="N14" s="14" t="str">
        <f>IF(COUNT(D14:K14)=0,"",IF(ABS(L14-Gabarito!L14)&lt;0.5,"✔","✗"))</f>
        <v>✔</v>
      </c>
    </row>
    <row r="15" spans="2:14" x14ac:dyDescent="0.2">
      <c r="B15" s="11" t="s">
        <v>40</v>
      </c>
    </row>
    <row r="16" spans="2:14" x14ac:dyDescent="0.2">
      <c r="B16" t="s">
        <v>41</v>
      </c>
      <c r="C16" s="12"/>
      <c r="D16" s="5">
        <v>120000</v>
      </c>
      <c r="E16" s="5"/>
      <c r="F16" s="5"/>
      <c r="G16" s="5"/>
      <c r="H16" s="5"/>
      <c r="I16" s="5"/>
      <c r="J16" s="5"/>
      <c r="K16" s="5"/>
      <c r="L16" s="13">
        <f>C16+SUM(D16:K16)</f>
        <v>120000</v>
      </c>
      <c r="N16" s="14" t="str">
        <f>IF(COUNT(D16:K16)=0,"",IF(ABS(L16-Gabarito!L16)&lt;0.5,"✔","✗"))</f>
        <v>✔</v>
      </c>
    </row>
    <row r="17" spans="2:14" x14ac:dyDescent="0.2">
      <c r="B17" t="s">
        <v>42</v>
      </c>
      <c r="C17" s="12"/>
      <c r="D17" s="5"/>
      <c r="E17" s="5"/>
      <c r="F17" s="5"/>
      <c r="G17" s="5">
        <v>52000</v>
      </c>
      <c r="H17" s="5">
        <v>-11000</v>
      </c>
      <c r="I17" s="5">
        <v>-24000</v>
      </c>
      <c r="J17" s="5"/>
      <c r="K17" s="5"/>
      <c r="L17" s="13">
        <f>C17+SUM(D17:K17)</f>
        <v>17000</v>
      </c>
      <c r="N17" s="14" t="str">
        <f>IF(COUNT(D17:K17)=0,"",IF(ABS(L17-Gabarito!L17)&lt;0.5,"✔","✗"))</f>
        <v>✔</v>
      </c>
    </row>
    <row r="18" spans="2:14" x14ac:dyDescent="0.2">
      <c r="B18" s="15" t="s">
        <v>43</v>
      </c>
      <c r="C18" s="16">
        <f t="shared" ref="C18:L18" si="1">SUM(C13:C17)</f>
        <v>0</v>
      </c>
      <c r="D18" s="16">
        <f t="shared" si="1"/>
        <v>120000</v>
      </c>
      <c r="E18" s="16">
        <f t="shared" si="1"/>
        <v>0</v>
      </c>
      <c r="F18" s="16">
        <f t="shared" si="1"/>
        <v>18000</v>
      </c>
      <c r="G18" s="16">
        <f t="shared" si="1"/>
        <v>52000</v>
      </c>
      <c r="H18" s="16">
        <f t="shared" si="1"/>
        <v>-11000</v>
      </c>
      <c r="I18" s="16">
        <f t="shared" si="1"/>
        <v>-24000</v>
      </c>
      <c r="J18" s="16">
        <f t="shared" si="1"/>
        <v>-10000</v>
      </c>
      <c r="K18" s="16">
        <f t="shared" si="1"/>
        <v>0</v>
      </c>
      <c r="L18" s="16">
        <f t="shared" si="1"/>
        <v>145000</v>
      </c>
    </row>
    <row r="20" spans="2:14" x14ac:dyDescent="0.2">
      <c r="B20" s="17" t="s">
        <v>44</v>
      </c>
      <c r="C20" s="13">
        <f t="shared" ref="C20:L20" si="2">C11-C18</f>
        <v>0</v>
      </c>
      <c r="D20" s="13">
        <f t="shared" si="2"/>
        <v>0</v>
      </c>
      <c r="E20" s="13">
        <f t="shared" si="2"/>
        <v>0</v>
      </c>
      <c r="F20" s="13">
        <f t="shared" si="2"/>
        <v>0</v>
      </c>
      <c r="G20" s="13">
        <f t="shared" si="2"/>
        <v>0</v>
      </c>
      <c r="H20" s="13">
        <f t="shared" si="2"/>
        <v>0</v>
      </c>
      <c r="I20" s="13">
        <f t="shared" si="2"/>
        <v>0</v>
      </c>
      <c r="J20" s="13">
        <f t="shared" si="2"/>
        <v>0</v>
      </c>
      <c r="K20" s="13">
        <f t="shared" si="2"/>
        <v>0</v>
      </c>
      <c r="L20" s="13">
        <f t="shared" si="2"/>
        <v>0</v>
      </c>
      <c r="N20" s="15" t="str">
        <f>IF(L20=0,"✔ fecha","✗ não fecha")</f>
        <v>✔ fecha</v>
      </c>
    </row>
    <row r="22" spans="2:14" x14ac:dyDescent="0.2">
      <c r="B22" s="9" t="s">
        <v>45</v>
      </c>
      <c r="D22" s="2">
        <v>1</v>
      </c>
      <c r="E22" s="2">
        <v>2</v>
      </c>
      <c r="F22" s="2">
        <v>3</v>
      </c>
      <c r="G22" s="2">
        <v>4</v>
      </c>
      <c r="H22" s="2">
        <v>5</v>
      </c>
      <c r="I22" s="2">
        <v>6</v>
      </c>
      <c r="J22" s="2">
        <v>7</v>
      </c>
      <c r="K22" s="2">
        <v>8</v>
      </c>
      <c r="L22" s="9" t="s">
        <v>46</v>
      </c>
      <c r="N22" s="18" t="s">
        <v>9</v>
      </c>
    </row>
    <row r="23" spans="2:14" x14ac:dyDescent="0.2">
      <c r="B23" t="s">
        <v>47</v>
      </c>
      <c r="D23" s="5"/>
      <c r="E23" s="5"/>
      <c r="F23" s="5"/>
      <c r="G23" s="5">
        <f>G6+G7</f>
        <v>52000</v>
      </c>
      <c r="H23" s="5"/>
      <c r="I23" s="5"/>
      <c r="J23" s="5"/>
      <c r="K23" s="5"/>
      <c r="L23" s="13">
        <f>SUM(D23:K23)</f>
        <v>52000</v>
      </c>
      <c r="N23" s="14" t="str">
        <f>IF(COUNT(D23:K23)=0,"",IF(ABS(L23-Gabarito!L23)&lt;0.5,"✔","✗"))</f>
        <v>✔</v>
      </c>
    </row>
    <row r="24" spans="2:14" x14ac:dyDescent="0.2">
      <c r="B24" t="s">
        <v>48</v>
      </c>
      <c r="D24" s="5"/>
      <c r="E24" s="5"/>
      <c r="F24" s="5"/>
      <c r="G24" s="5">
        <v>0</v>
      </c>
      <c r="H24" s="5">
        <f>H8</f>
        <v>-11000</v>
      </c>
      <c r="I24" s="5">
        <v>-16000</v>
      </c>
      <c r="J24" s="5"/>
      <c r="K24" s="5"/>
      <c r="L24" s="13">
        <f>SUM(D24:K24)</f>
        <v>-27000</v>
      </c>
      <c r="N24" s="14" t="str">
        <f>IF(COUNT(D24:K24)=0,"",IF(ABS(L24-Gabarito!L24)&lt;0.5,"✔","✗"))</f>
        <v>✔</v>
      </c>
    </row>
    <row r="25" spans="2:14" x14ac:dyDescent="0.2">
      <c r="B25" s="15" t="s">
        <v>49</v>
      </c>
      <c r="D25" s="16">
        <f t="shared" ref="D25:L25" si="3">SUM(D23:D24)</f>
        <v>0</v>
      </c>
      <c r="E25" s="16">
        <f t="shared" si="3"/>
        <v>0</v>
      </c>
      <c r="F25" s="16">
        <f t="shared" si="3"/>
        <v>0</v>
      </c>
      <c r="G25" s="16">
        <f t="shared" si="3"/>
        <v>52000</v>
      </c>
      <c r="H25" s="16">
        <f t="shared" si="3"/>
        <v>-11000</v>
      </c>
      <c r="I25" s="16">
        <f t="shared" si="3"/>
        <v>-16000</v>
      </c>
      <c r="J25" s="16">
        <f t="shared" si="3"/>
        <v>0</v>
      </c>
      <c r="K25" s="16">
        <f t="shared" si="3"/>
        <v>0</v>
      </c>
      <c r="L25" s="16">
        <f t="shared" si="3"/>
        <v>25000</v>
      </c>
    </row>
    <row r="26" spans="2:14" x14ac:dyDescent="0.2">
      <c r="B26" t="s">
        <v>50</v>
      </c>
      <c r="D26" s="5"/>
      <c r="E26" s="5"/>
      <c r="F26" s="5"/>
      <c r="G26" s="5"/>
      <c r="H26" s="5"/>
      <c r="I26" s="5">
        <v>-8000</v>
      </c>
      <c r="J26" s="5"/>
      <c r="K26" s="5"/>
      <c r="L26" s="13">
        <f>SUM(D26:K26)</f>
        <v>-8000</v>
      </c>
      <c r="N26" s="14" t="str">
        <f>IF(COUNT(D26:K26)=0,"",IF(ABS(L26-Gabarito!L26)&lt;0.5,"✔","✗"))</f>
        <v>✔</v>
      </c>
    </row>
    <row r="27" spans="2:14" x14ac:dyDescent="0.2">
      <c r="B27" s="15" t="s">
        <v>51</v>
      </c>
      <c r="D27" s="16">
        <f t="shared" ref="D27:L27" si="4">SUM(D25:D26)</f>
        <v>0</v>
      </c>
      <c r="E27" s="16">
        <f t="shared" si="4"/>
        <v>0</v>
      </c>
      <c r="F27" s="16">
        <f t="shared" si="4"/>
        <v>0</v>
      </c>
      <c r="G27" s="16">
        <f t="shared" si="4"/>
        <v>52000</v>
      </c>
      <c r="H27" s="16">
        <f t="shared" si="4"/>
        <v>-11000</v>
      </c>
      <c r="I27" s="16">
        <f t="shared" si="4"/>
        <v>-24000</v>
      </c>
      <c r="J27" s="16">
        <f t="shared" si="4"/>
        <v>0</v>
      </c>
      <c r="K27" s="16">
        <f t="shared" si="4"/>
        <v>0</v>
      </c>
      <c r="L27" s="16">
        <f t="shared" si="4"/>
        <v>17000</v>
      </c>
    </row>
    <row r="29" spans="2:14" x14ac:dyDescent="0.2">
      <c r="B29" s="9" t="s">
        <v>52</v>
      </c>
      <c r="D29" s="2">
        <v>1</v>
      </c>
      <c r="E29" s="2">
        <v>2</v>
      </c>
      <c r="F29" s="2">
        <v>3</v>
      </c>
      <c r="G29" s="2">
        <v>4</v>
      </c>
      <c r="H29" s="2">
        <v>5</v>
      </c>
      <c r="I29" s="2">
        <v>6</v>
      </c>
      <c r="J29" s="2">
        <v>7</v>
      </c>
      <c r="K29" s="2">
        <v>8</v>
      </c>
      <c r="L29" s="9" t="s">
        <v>46</v>
      </c>
    </row>
    <row r="30" spans="2:14" x14ac:dyDescent="0.2">
      <c r="B30" s="15" t="s">
        <v>53</v>
      </c>
      <c r="D30" s="16">
        <f t="shared" ref="D30:L30" si="5">SUM(D31:D33)</f>
        <v>0</v>
      </c>
      <c r="E30" s="16">
        <f t="shared" si="5"/>
        <v>0</v>
      </c>
      <c r="F30" s="16">
        <f t="shared" si="5"/>
        <v>0</v>
      </c>
      <c r="G30" s="16">
        <f t="shared" si="5"/>
        <v>30000</v>
      </c>
      <c r="H30" s="16">
        <f t="shared" si="5"/>
        <v>0</v>
      </c>
      <c r="I30" s="16">
        <f t="shared" si="5"/>
        <v>-24000</v>
      </c>
      <c r="J30" s="16">
        <f t="shared" si="5"/>
        <v>-10000</v>
      </c>
      <c r="K30" s="16">
        <f t="shared" si="5"/>
        <v>9000</v>
      </c>
      <c r="L30" s="16">
        <f t="shared" si="5"/>
        <v>5000</v>
      </c>
    </row>
    <row r="31" spans="2:14" x14ac:dyDescent="0.2">
      <c r="B31" t="s">
        <v>54</v>
      </c>
      <c r="D31" s="5"/>
      <c r="E31" s="5"/>
      <c r="F31" s="5"/>
      <c r="G31" s="5">
        <f>G6</f>
        <v>30000</v>
      </c>
      <c r="H31" s="5"/>
      <c r="I31" s="5"/>
      <c r="J31" s="5"/>
      <c r="K31" s="5">
        <f>K6</f>
        <v>9000</v>
      </c>
      <c r="L31" s="13">
        <f>SUM(D31:K31)</f>
        <v>39000</v>
      </c>
      <c r="N31" s="14" t="str">
        <f>IF(COUNT(D31:K31)=0,"",IF(ABS(L31-Gabarito!L31)&lt;0.5,"✔","✗"))</f>
        <v>✔</v>
      </c>
    </row>
    <row r="32" spans="2:14" x14ac:dyDescent="0.2">
      <c r="B32" t="s">
        <v>55</v>
      </c>
      <c r="D32" s="5"/>
      <c r="E32" s="5"/>
      <c r="F32" s="5"/>
      <c r="G32" s="5"/>
      <c r="H32" s="5"/>
      <c r="I32" s="5"/>
      <c r="J32" s="5">
        <f>J6</f>
        <v>-10000</v>
      </c>
      <c r="K32" s="5"/>
      <c r="L32" s="13">
        <f>SUM(D32:K32)</f>
        <v>-10000</v>
      </c>
      <c r="N32" s="14" t="str">
        <f>IF(COUNT(D32:K32)=0,"",IF(ABS(L32-Gabarito!L32)&lt;0.5,"✔","✗"))</f>
        <v>✔</v>
      </c>
    </row>
    <row r="33" spans="2:14" x14ac:dyDescent="0.2">
      <c r="B33" t="s">
        <v>56</v>
      </c>
      <c r="D33" s="5"/>
      <c r="E33" s="5"/>
      <c r="F33" s="5"/>
      <c r="G33" s="5"/>
      <c r="H33" s="5"/>
      <c r="I33" s="5">
        <f>I6</f>
        <v>-24000</v>
      </c>
      <c r="J33" s="5"/>
      <c r="K33" s="5"/>
      <c r="L33" s="13">
        <f>SUM(D33:K33)</f>
        <v>-24000</v>
      </c>
      <c r="N33" s="14" t="str">
        <f>IF(COUNT(D33:K33)=0,"",IF(ABS(L33-Gabarito!L33)&lt;0.5,"✔","✗"))</f>
        <v>✔</v>
      </c>
    </row>
    <row r="34" spans="2:14" x14ac:dyDescent="0.2">
      <c r="B34" s="15" t="s">
        <v>57</v>
      </c>
      <c r="D34" s="16">
        <f t="shared" ref="D34:L34" si="6">SUM(D35:D35)</f>
        <v>0</v>
      </c>
      <c r="E34" s="16">
        <f t="shared" si="6"/>
        <v>-70000</v>
      </c>
      <c r="F34" s="16">
        <f t="shared" si="6"/>
        <v>0</v>
      </c>
      <c r="G34" s="16">
        <f t="shared" si="6"/>
        <v>0</v>
      </c>
      <c r="H34" s="16">
        <f t="shared" si="6"/>
        <v>0</v>
      </c>
      <c r="I34" s="16">
        <f t="shared" si="6"/>
        <v>0</v>
      </c>
      <c r="J34" s="16">
        <f t="shared" si="6"/>
        <v>0</v>
      </c>
      <c r="K34" s="16">
        <f t="shared" si="6"/>
        <v>0</v>
      </c>
      <c r="L34" s="16">
        <f t="shared" si="6"/>
        <v>-70000</v>
      </c>
    </row>
    <row r="35" spans="2:14" x14ac:dyDescent="0.2">
      <c r="B35" t="s">
        <v>58</v>
      </c>
      <c r="D35" s="5"/>
      <c r="E35" s="5">
        <f>-E10</f>
        <v>-70000</v>
      </c>
      <c r="F35" s="5"/>
      <c r="G35" s="5"/>
      <c r="H35" s="5"/>
      <c r="I35" s="5"/>
      <c r="J35" s="5"/>
      <c r="K35" s="5"/>
      <c r="L35" s="13">
        <f>SUM(D35:K35)</f>
        <v>-70000</v>
      </c>
      <c r="N35" s="14" t="str">
        <f>IF(COUNT(D35:K35)=0,"",IF(ABS(L35-Gabarito!L35)&lt;0.5,"✔","✗"))</f>
        <v>✔</v>
      </c>
    </row>
    <row r="36" spans="2:14" x14ac:dyDescent="0.2">
      <c r="B36" s="15" t="s">
        <v>59</v>
      </c>
      <c r="D36" s="16">
        <f t="shared" ref="D36:L36" si="7">SUM(D37:D37)</f>
        <v>120000</v>
      </c>
      <c r="E36" s="16">
        <f t="shared" si="7"/>
        <v>0</v>
      </c>
      <c r="F36" s="16">
        <f t="shared" si="7"/>
        <v>0</v>
      </c>
      <c r="G36" s="16">
        <f t="shared" si="7"/>
        <v>0</v>
      </c>
      <c r="H36" s="16">
        <f t="shared" si="7"/>
        <v>0</v>
      </c>
      <c r="I36" s="16">
        <f t="shared" si="7"/>
        <v>0</v>
      </c>
      <c r="J36" s="16">
        <f t="shared" si="7"/>
        <v>0</v>
      </c>
      <c r="K36" s="16">
        <f t="shared" si="7"/>
        <v>0</v>
      </c>
      <c r="L36" s="16">
        <f t="shared" si="7"/>
        <v>120000</v>
      </c>
    </row>
    <row r="37" spans="2:14" x14ac:dyDescent="0.2">
      <c r="B37" t="s">
        <v>60</v>
      </c>
      <c r="D37" s="5" cm="1">
        <f t="array" ref="D37:K37">D16:K16</f>
        <v>120000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13">
        <f>SUM(D37:K37)</f>
        <v>120000</v>
      </c>
      <c r="N37" s="14" t="str">
        <f>IF(COUNT(D37:K37)=0,"",IF(ABS(L37-Gabarito!L37)&lt;0.5,"✔","✗"))</f>
        <v>✔</v>
      </c>
    </row>
    <row r="38" spans="2:14" x14ac:dyDescent="0.2">
      <c r="B38" s="15" t="s">
        <v>61</v>
      </c>
      <c r="D38" s="16">
        <f t="shared" ref="D38:L38" si="8">D30+D34+D36</f>
        <v>120000</v>
      </c>
      <c r="E38" s="16">
        <f t="shared" si="8"/>
        <v>-70000</v>
      </c>
      <c r="F38" s="16">
        <f t="shared" si="8"/>
        <v>0</v>
      </c>
      <c r="G38" s="16">
        <f t="shared" si="8"/>
        <v>30000</v>
      </c>
      <c r="H38" s="16">
        <f t="shared" si="8"/>
        <v>0</v>
      </c>
      <c r="I38" s="16">
        <f t="shared" si="8"/>
        <v>-24000</v>
      </c>
      <c r="J38" s="16">
        <f t="shared" si="8"/>
        <v>-10000</v>
      </c>
      <c r="K38" s="16">
        <f t="shared" si="8"/>
        <v>9000</v>
      </c>
      <c r="L38" s="16">
        <f t="shared" si="8"/>
        <v>55000</v>
      </c>
    </row>
    <row r="39" spans="2:14" x14ac:dyDescent="0.2">
      <c r="B39" t="s">
        <v>62</v>
      </c>
      <c r="L39" s="12">
        <v>0</v>
      </c>
    </row>
    <row r="40" spans="2:14" x14ac:dyDescent="0.2">
      <c r="B40" s="15" t="s">
        <v>63</v>
      </c>
      <c r="L40" s="13">
        <f>L39+L38</f>
        <v>55000</v>
      </c>
    </row>
    <row r="42" spans="2:14" x14ac:dyDescent="0.2">
      <c r="B42" s="17" t="s">
        <v>64</v>
      </c>
      <c r="L42" s="13">
        <f>L40-L6</f>
        <v>0</v>
      </c>
      <c r="N42" s="15" t="str">
        <f>IF(L42=0,"✔ amarra","✗ não amarra")</f>
        <v>✔ amarra</v>
      </c>
    </row>
    <row r="44" spans="2:14" x14ac:dyDescent="0.2">
      <c r="B44" s="9" t="s">
        <v>65</v>
      </c>
    </row>
    <row r="45" spans="2:14" x14ac:dyDescent="0.2">
      <c r="B45" t="s">
        <v>66</v>
      </c>
      <c r="L45" s="19">
        <f>IF(L23=0,"",L25/L23)</f>
        <v>0.48076923076923078</v>
      </c>
    </row>
    <row r="46" spans="2:14" x14ac:dyDescent="0.2">
      <c r="B46" t="s">
        <v>67</v>
      </c>
      <c r="L46" s="19">
        <f>IF(L23=0,"",L27/L23)</f>
        <v>0.32692307692307693</v>
      </c>
    </row>
    <row r="47" spans="2:14" x14ac:dyDescent="0.2">
      <c r="B47" t="s">
        <v>68</v>
      </c>
      <c r="L47" s="19">
        <f>IF(L11=0,"",SUM(L16:L17)/L11)</f>
        <v>0.94482758620689655</v>
      </c>
    </row>
    <row r="48" spans="2:14" x14ac:dyDescent="0.2">
      <c r="B48" t="s">
        <v>69</v>
      </c>
      <c r="L48" s="19">
        <f>IF(SUM(L16:L17)=0,"",L27/SUM(L16:L17))</f>
        <v>0.12408759124087591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N48"/>
  <sheetViews>
    <sheetView showGridLines="0"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4" customWidth="1"/>
    <col min="2" max="2" width="38" customWidth="1"/>
    <col min="3" max="12" width="13" customWidth="1"/>
    <col min="13" max="13" width="3" customWidth="1"/>
    <col min="14" max="14" width="13" customWidth="1"/>
  </cols>
  <sheetData>
    <row r="1" spans="2:12" x14ac:dyDescent="0.2">
      <c r="B1" s="25" t="s">
        <v>20</v>
      </c>
      <c r="C1" s="23"/>
      <c r="D1" s="7" t="s">
        <v>21</v>
      </c>
    </row>
    <row r="2" spans="2:12" ht="42" customHeight="1" x14ac:dyDescent="0.2">
      <c r="B2" s="1" t="s">
        <v>22</v>
      </c>
      <c r="D2" s="8" t="s">
        <v>12</v>
      </c>
      <c r="E2" s="8" t="s">
        <v>13</v>
      </c>
      <c r="F2" s="8" t="s">
        <v>23</v>
      </c>
      <c r="G2" s="8" t="s">
        <v>24</v>
      </c>
      <c r="H2" s="8" t="s">
        <v>25</v>
      </c>
      <c r="I2" s="8" t="s">
        <v>26</v>
      </c>
      <c r="J2" s="8" t="s">
        <v>18</v>
      </c>
      <c r="K2" s="8" t="s">
        <v>19</v>
      </c>
    </row>
    <row r="3" spans="2:12" x14ac:dyDescent="0.2">
      <c r="B3" s="9" t="s">
        <v>27</v>
      </c>
      <c r="C3" s="9" t="s">
        <v>28</v>
      </c>
      <c r="D3" s="2">
        <v>1</v>
      </c>
      <c r="E3" s="2">
        <v>2</v>
      </c>
      <c r="F3" s="2">
        <v>3</v>
      </c>
      <c r="G3" s="2">
        <v>4</v>
      </c>
      <c r="H3" s="2">
        <v>5</v>
      </c>
      <c r="I3" s="2">
        <v>6</v>
      </c>
      <c r="J3" s="2">
        <v>7</v>
      </c>
      <c r="K3" s="2">
        <v>8</v>
      </c>
      <c r="L3" s="9" t="s">
        <v>29</v>
      </c>
    </row>
    <row r="4" spans="2:12" x14ac:dyDescent="0.2">
      <c r="B4" s="10" t="s">
        <v>4</v>
      </c>
    </row>
    <row r="5" spans="2:12" x14ac:dyDescent="0.2">
      <c r="B5" s="11" t="s">
        <v>30</v>
      </c>
    </row>
    <row r="6" spans="2:12" x14ac:dyDescent="0.2">
      <c r="B6" t="s">
        <v>31</v>
      </c>
      <c r="C6" s="12"/>
      <c r="D6" s="5">
        <v>120000</v>
      </c>
      <c r="E6" s="5">
        <v>-70000</v>
      </c>
      <c r="F6" s="5"/>
      <c r="G6" s="5">
        <v>30000</v>
      </c>
      <c r="H6" s="5"/>
      <c r="I6" s="5">
        <v>-24000</v>
      </c>
      <c r="J6" s="5">
        <v>-10000</v>
      </c>
      <c r="K6" s="5">
        <v>9000</v>
      </c>
      <c r="L6" s="13">
        <f>C6+SUM(D6:K6)</f>
        <v>55000</v>
      </c>
    </row>
    <row r="7" spans="2:12" x14ac:dyDescent="0.2">
      <c r="B7" t="s">
        <v>32</v>
      </c>
      <c r="C7" s="12"/>
      <c r="D7" s="5"/>
      <c r="E7" s="5"/>
      <c r="F7" s="5"/>
      <c r="G7" s="5">
        <v>22000</v>
      </c>
      <c r="H7" s="5"/>
      <c r="I7" s="5"/>
      <c r="J7" s="5"/>
      <c r="K7" s="5">
        <v>-9000</v>
      </c>
      <c r="L7" s="13">
        <f>C7+SUM(D7:K7)</f>
        <v>13000</v>
      </c>
    </row>
    <row r="8" spans="2:12" x14ac:dyDescent="0.2">
      <c r="B8" t="s">
        <v>33</v>
      </c>
      <c r="C8" s="12"/>
      <c r="D8" s="5"/>
      <c r="E8" s="5"/>
      <c r="F8" s="5">
        <v>18000</v>
      </c>
      <c r="G8" s="5"/>
      <c r="H8" s="5">
        <v>-11000</v>
      </c>
      <c r="I8" s="5"/>
      <c r="J8" s="5"/>
      <c r="K8" s="5"/>
      <c r="L8" s="13">
        <f>C8+SUM(D8:K8)</f>
        <v>7000</v>
      </c>
    </row>
    <row r="9" spans="2:12" x14ac:dyDescent="0.2">
      <c r="B9" s="11" t="s">
        <v>34</v>
      </c>
    </row>
    <row r="10" spans="2:12" x14ac:dyDescent="0.2">
      <c r="B10" t="s">
        <v>35</v>
      </c>
      <c r="C10" s="12"/>
      <c r="D10" s="5"/>
      <c r="E10" s="5">
        <v>70000</v>
      </c>
      <c r="F10" s="5"/>
      <c r="G10" s="5"/>
      <c r="H10" s="5"/>
      <c r="I10" s="5"/>
      <c r="J10" s="5"/>
      <c r="K10" s="5"/>
      <c r="L10" s="13">
        <f>C10+SUM(D10:K10)</f>
        <v>70000</v>
      </c>
    </row>
    <row r="11" spans="2:12" x14ac:dyDescent="0.2">
      <c r="B11" s="15" t="s">
        <v>36</v>
      </c>
      <c r="C11" s="16">
        <f t="shared" ref="C11:L11" si="0">SUM(C6:C10)</f>
        <v>0</v>
      </c>
      <c r="D11" s="16">
        <f t="shared" si="0"/>
        <v>120000</v>
      </c>
      <c r="E11" s="16">
        <f t="shared" si="0"/>
        <v>0</v>
      </c>
      <c r="F11" s="16">
        <f t="shared" si="0"/>
        <v>18000</v>
      </c>
      <c r="G11" s="16">
        <f t="shared" si="0"/>
        <v>52000</v>
      </c>
      <c r="H11" s="16">
        <f t="shared" si="0"/>
        <v>-11000</v>
      </c>
      <c r="I11" s="16">
        <f t="shared" si="0"/>
        <v>-24000</v>
      </c>
      <c r="J11" s="16">
        <f t="shared" si="0"/>
        <v>-10000</v>
      </c>
      <c r="K11" s="16">
        <f t="shared" si="0"/>
        <v>0</v>
      </c>
      <c r="L11" s="16">
        <f t="shared" si="0"/>
        <v>145000</v>
      </c>
    </row>
    <row r="12" spans="2:12" x14ac:dyDescent="0.2">
      <c r="B12" s="10" t="s">
        <v>37</v>
      </c>
    </row>
    <row r="13" spans="2:12" x14ac:dyDescent="0.2">
      <c r="B13" s="11" t="s">
        <v>38</v>
      </c>
    </row>
    <row r="14" spans="2:12" x14ac:dyDescent="0.2">
      <c r="B14" t="s">
        <v>39</v>
      </c>
      <c r="C14" s="12"/>
      <c r="D14" s="5"/>
      <c r="E14" s="5"/>
      <c r="F14" s="5">
        <v>18000</v>
      </c>
      <c r="G14" s="5"/>
      <c r="H14" s="5"/>
      <c r="I14" s="5"/>
      <c r="J14" s="5">
        <v>-10000</v>
      </c>
      <c r="K14" s="5"/>
      <c r="L14" s="13">
        <f>C14+SUM(D14:K14)</f>
        <v>8000</v>
      </c>
    </row>
    <row r="15" spans="2:12" x14ac:dyDescent="0.2">
      <c r="B15" s="11" t="s">
        <v>40</v>
      </c>
    </row>
    <row r="16" spans="2:12" x14ac:dyDescent="0.2">
      <c r="B16" t="s">
        <v>41</v>
      </c>
      <c r="C16" s="12"/>
      <c r="D16" s="5">
        <v>120000</v>
      </c>
      <c r="E16" s="5"/>
      <c r="F16" s="5"/>
      <c r="G16" s="5"/>
      <c r="H16" s="5"/>
      <c r="I16" s="5"/>
      <c r="J16" s="5"/>
      <c r="K16" s="5"/>
      <c r="L16" s="13">
        <f>C16+SUM(D16:K16)</f>
        <v>120000</v>
      </c>
    </row>
    <row r="17" spans="2:14" x14ac:dyDescent="0.2">
      <c r="B17" t="s">
        <v>42</v>
      </c>
      <c r="C17" s="12"/>
      <c r="D17" s="5"/>
      <c r="E17" s="5"/>
      <c r="F17" s="5"/>
      <c r="G17" s="5">
        <v>52000</v>
      </c>
      <c r="H17" s="5">
        <v>-11000</v>
      </c>
      <c r="I17" s="5">
        <v>-24000</v>
      </c>
      <c r="J17" s="5"/>
      <c r="K17" s="5"/>
      <c r="L17" s="13">
        <f>C17+SUM(D17:K17)</f>
        <v>17000</v>
      </c>
    </row>
    <row r="18" spans="2:14" x14ac:dyDescent="0.2">
      <c r="B18" s="15" t="s">
        <v>43</v>
      </c>
      <c r="C18" s="16">
        <f t="shared" ref="C18:L18" si="1">SUM(C13:C17)</f>
        <v>0</v>
      </c>
      <c r="D18" s="16">
        <f t="shared" si="1"/>
        <v>120000</v>
      </c>
      <c r="E18" s="16">
        <f t="shared" si="1"/>
        <v>0</v>
      </c>
      <c r="F18" s="16">
        <f t="shared" si="1"/>
        <v>18000</v>
      </c>
      <c r="G18" s="16">
        <f t="shared" si="1"/>
        <v>52000</v>
      </c>
      <c r="H18" s="16">
        <f t="shared" si="1"/>
        <v>-11000</v>
      </c>
      <c r="I18" s="16">
        <f t="shared" si="1"/>
        <v>-24000</v>
      </c>
      <c r="J18" s="16">
        <f t="shared" si="1"/>
        <v>-10000</v>
      </c>
      <c r="K18" s="16">
        <f t="shared" si="1"/>
        <v>0</v>
      </c>
      <c r="L18" s="16">
        <f t="shared" si="1"/>
        <v>145000</v>
      </c>
    </row>
    <row r="20" spans="2:14" x14ac:dyDescent="0.2">
      <c r="B20" s="17" t="s">
        <v>44</v>
      </c>
      <c r="C20" s="13">
        <f t="shared" ref="C20:L20" si="2">C11-C18</f>
        <v>0</v>
      </c>
      <c r="D20" s="13">
        <f t="shared" si="2"/>
        <v>0</v>
      </c>
      <c r="E20" s="13">
        <f t="shared" si="2"/>
        <v>0</v>
      </c>
      <c r="F20" s="13">
        <f t="shared" si="2"/>
        <v>0</v>
      </c>
      <c r="G20" s="13">
        <f t="shared" si="2"/>
        <v>0</v>
      </c>
      <c r="H20" s="13">
        <f t="shared" si="2"/>
        <v>0</v>
      </c>
      <c r="I20" s="13">
        <f t="shared" si="2"/>
        <v>0</v>
      </c>
      <c r="J20" s="13">
        <f t="shared" si="2"/>
        <v>0</v>
      </c>
      <c r="K20" s="13">
        <f t="shared" si="2"/>
        <v>0</v>
      </c>
      <c r="L20" s="13">
        <f t="shared" si="2"/>
        <v>0</v>
      </c>
    </row>
    <row r="22" spans="2:14" x14ac:dyDescent="0.2">
      <c r="B22" s="9" t="s">
        <v>45</v>
      </c>
      <c r="D22" s="2">
        <v>1</v>
      </c>
      <c r="E22" s="2">
        <v>2</v>
      </c>
      <c r="F22" s="2">
        <v>3</v>
      </c>
      <c r="G22" s="2">
        <v>4</v>
      </c>
      <c r="H22" s="2">
        <v>5</v>
      </c>
      <c r="I22" s="2">
        <v>6</v>
      </c>
      <c r="J22" s="2">
        <v>7</v>
      </c>
      <c r="K22" s="2">
        <v>8</v>
      </c>
      <c r="L22" s="9" t="s">
        <v>46</v>
      </c>
      <c r="N22" s="18" t="s">
        <v>9</v>
      </c>
    </row>
    <row r="23" spans="2:14" x14ac:dyDescent="0.2">
      <c r="B23" t="s">
        <v>47</v>
      </c>
      <c r="D23" s="5"/>
      <c r="E23" s="5"/>
      <c r="F23" s="5"/>
      <c r="G23" s="5">
        <v>52000</v>
      </c>
      <c r="H23" s="5"/>
      <c r="I23" s="5"/>
      <c r="J23" s="5"/>
      <c r="K23" s="5"/>
      <c r="L23" s="13">
        <f>SUM(D23:K23)</f>
        <v>52000</v>
      </c>
    </row>
    <row r="24" spans="2:14" x14ac:dyDescent="0.2">
      <c r="B24" t="s">
        <v>48</v>
      </c>
      <c r="D24" s="5"/>
      <c r="E24" s="5"/>
      <c r="F24" s="5"/>
      <c r="G24" s="5"/>
      <c r="H24" s="5">
        <v>-11000</v>
      </c>
      <c r="I24" s="5">
        <v>-16000</v>
      </c>
      <c r="J24" s="5"/>
      <c r="K24" s="5"/>
      <c r="L24" s="13">
        <f>SUM(D24:K24)</f>
        <v>-27000</v>
      </c>
    </row>
    <row r="25" spans="2:14" x14ac:dyDescent="0.2">
      <c r="B25" s="15" t="s">
        <v>49</v>
      </c>
      <c r="D25" s="16">
        <f t="shared" ref="D25:L25" si="3">SUM(D23:D24)</f>
        <v>0</v>
      </c>
      <c r="E25" s="16">
        <f t="shared" si="3"/>
        <v>0</v>
      </c>
      <c r="F25" s="16">
        <f t="shared" si="3"/>
        <v>0</v>
      </c>
      <c r="G25" s="16">
        <f t="shared" si="3"/>
        <v>52000</v>
      </c>
      <c r="H25" s="16">
        <f t="shared" si="3"/>
        <v>-11000</v>
      </c>
      <c r="I25" s="16">
        <f t="shared" si="3"/>
        <v>-16000</v>
      </c>
      <c r="J25" s="16">
        <f t="shared" si="3"/>
        <v>0</v>
      </c>
      <c r="K25" s="16">
        <f t="shared" si="3"/>
        <v>0</v>
      </c>
      <c r="L25" s="16">
        <f t="shared" si="3"/>
        <v>25000</v>
      </c>
    </row>
    <row r="26" spans="2:14" x14ac:dyDescent="0.2">
      <c r="B26" t="s">
        <v>50</v>
      </c>
      <c r="D26" s="5"/>
      <c r="E26" s="5"/>
      <c r="F26" s="5"/>
      <c r="G26" s="5"/>
      <c r="H26" s="5"/>
      <c r="I26" s="5">
        <v>-8000</v>
      </c>
      <c r="J26" s="5"/>
      <c r="K26" s="5"/>
      <c r="L26" s="13">
        <f>SUM(D26:K26)</f>
        <v>-8000</v>
      </c>
    </row>
    <row r="27" spans="2:14" x14ac:dyDescent="0.2">
      <c r="B27" s="15" t="s">
        <v>51</v>
      </c>
      <c r="D27" s="16">
        <f t="shared" ref="D27:L27" si="4">SUM(D25:D26)</f>
        <v>0</v>
      </c>
      <c r="E27" s="16">
        <f t="shared" si="4"/>
        <v>0</v>
      </c>
      <c r="F27" s="16">
        <f t="shared" si="4"/>
        <v>0</v>
      </c>
      <c r="G27" s="16">
        <f t="shared" si="4"/>
        <v>52000</v>
      </c>
      <c r="H27" s="16">
        <f t="shared" si="4"/>
        <v>-11000</v>
      </c>
      <c r="I27" s="16">
        <f t="shared" si="4"/>
        <v>-24000</v>
      </c>
      <c r="J27" s="16">
        <f t="shared" si="4"/>
        <v>0</v>
      </c>
      <c r="K27" s="16">
        <f t="shared" si="4"/>
        <v>0</v>
      </c>
      <c r="L27" s="16">
        <f t="shared" si="4"/>
        <v>17000</v>
      </c>
    </row>
    <row r="29" spans="2:14" x14ac:dyDescent="0.2">
      <c r="B29" s="9" t="s">
        <v>52</v>
      </c>
      <c r="D29" s="2">
        <v>1</v>
      </c>
      <c r="E29" s="2">
        <v>2</v>
      </c>
      <c r="F29" s="2">
        <v>3</v>
      </c>
      <c r="G29" s="2">
        <v>4</v>
      </c>
      <c r="H29" s="2">
        <v>5</v>
      </c>
      <c r="I29" s="2">
        <v>6</v>
      </c>
      <c r="J29" s="2">
        <v>7</v>
      </c>
      <c r="K29" s="2">
        <v>8</v>
      </c>
      <c r="L29" s="9" t="s">
        <v>46</v>
      </c>
    </row>
    <row r="30" spans="2:14" x14ac:dyDescent="0.2">
      <c r="B30" s="15" t="s">
        <v>53</v>
      </c>
      <c r="D30" s="16">
        <f t="shared" ref="D30:L30" si="5">SUM(D31:D33)</f>
        <v>0</v>
      </c>
      <c r="E30" s="16">
        <f t="shared" si="5"/>
        <v>0</v>
      </c>
      <c r="F30" s="16">
        <f t="shared" si="5"/>
        <v>0</v>
      </c>
      <c r="G30" s="16">
        <f t="shared" si="5"/>
        <v>30000</v>
      </c>
      <c r="H30" s="16">
        <f t="shared" si="5"/>
        <v>0</v>
      </c>
      <c r="I30" s="16">
        <f t="shared" si="5"/>
        <v>-24000</v>
      </c>
      <c r="J30" s="16">
        <f t="shared" si="5"/>
        <v>-10000</v>
      </c>
      <c r="K30" s="16">
        <f t="shared" si="5"/>
        <v>9000</v>
      </c>
      <c r="L30" s="16">
        <f t="shared" si="5"/>
        <v>5000</v>
      </c>
    </row>
    <row r="31" spans="2:14" x14ac:dyDescent="0.2">
      <c r="B31" t="s">
        <v>54</v>
      </c>
      <c r="D31" s="5"/>
      <c r="E31" s="5"/>
      <c r="F31" s="5"/>
      <c r="G31" s="5">
        <v>30000</v>
      </c>
      <c r="H31" s="5"/>
      <c r="I31" s="5"/>
      <c r="J31" s="5"/>
      <c r="K31" s="5">
        <v>9000</v>
      </c>
      <c r="L31" s="13">
        <f>SUM(D31:K31)</f>
        <v>39000</v>
      </c>
    </row>
    <row r="32" spans="2:14" x14ac:dyDescent="0.2">
      <c r="B32" t="s">
        <v>55</v>
      </c>
      <c r="D32" s="5"/>
      <c r="E32" s="5"/>
      <c r="F32" s="5"/>
      <c r="G32" s="5"/>
      <c r="H32" s="5"/>
      <c r="I32" s="5"/>
      <c r="J32" s="5">
        <v>-10000</v>
      </c>
      <c r="K32" s="5"/>
      <c r="L32" s="13">
        <f>SUM(D32:K32)</f>
        <v>-10000</v>
      </c>
    </row>
    <row r="33" spans="2:12" x14ac:dyDescent="0.2">
      <c r="B33" t="s">
        <v>56</v>
      </c>
      <c r="D33" s="5"/>
      <c r="E33" s="5"/>
      <c r="F33" s="5"/>
      <c r="G33" s="5"/>
      <c r="H33" s="5"/>
      <c r="I33" s="5">
        <v>-24000</v>
      </c>
      <c r="J33" s="5"/>
      <c r="K33" s="5"/>
      <c r="L33" s="13">
        <f>SUM(D33:K33)</f>
        <v>-24000</v>
      </c>
    </row>
    <row r="34" spans="2:12" x14ac:dyDescent="0.2">
      <c r="B34" s="15" t="s">
        <v>57</v>
      </c>
      <c r="D34" s="16">
        <f t="shared" ref="D34:L34" si="6">SUM(D35:D35)</f>
        <v>0</v>
      </c>
      <c r="E34" s="16">
        <f t="shared" si="6"/>
        <v>-70000</v>
      </c>
      <c r="F34" s="16">
        <f t="shared" si="6"/>
        <v>0</v>
      </c>
      <c r="G34" s="16">
        <f t="shared" si="6"/>
        <v>0</v>
      </c>
      <c r="H34" s="16">
        <f t="shared" si="6"/>
        <v>0</v>
      </c>
      <c r="I34" s="16">
        <f t="shared" si="6"/>
        <v>0</v>
      </c>
      <c r="J34" s="16">
        <f t="shared" si="6"/>
        <v>0</v>
      </c>
      <c r="K34" s="16">
        <f t="shared" si="6"/>
        <v>0</v>
      </c>
      <c r="L34" s="16">
        <f t="shared" si="6"/>
        <v>-70000</v>
      </c>
    </row>
    <row r="35" spans="2:12" x14ac:dyDescent="0.2">
      <c r="B35" t="s">
        <v>58</v>
      </c>
      <c r="D35" s="5"/>
      <c r="E35" s="5">
        <v>-70000</v>
      </c>
      <c r="F35" s="5"/>
      <c r="G35" s="5"/>
      <c r="H35" s="5"/>
      <c r="I35" s="5"/>
      <c r="J35" s="5"/>
      <c r="K35" s="5"/>
      <c r="L35" s="13">
        <f>SUM(D35:K35)</f>
        <v>-70000</v>
      </c>
    </row>
    <row r="36" spans="2:12" x14ac:dyDescent="0.2">
      <c r="B36" s="15" t="s">
        <v>59</v>
      </c>
      <c r="D36" s="16">
        <f t="shared" ref="D36:L36" si="7">SUM(D37:D37)</f>
        <v>120000</v>
      </c>
      <c r="E36" s="16">
        <f t="shared" si="7"/>
        <v>0</v>
      </c>
      <c r="F36" s="16">
        <f t="shared" si="7"/>
        <v>0</v>
      </c>
      <c r="G36" s="16">
        <f t="shared" si="7"/>
        <v>0</v>
      </c>
      <c r="H36" s="16">
        <f t="shared" si="7"/>
        <v>0</v>
      </c>
      <c r="I36" s="16">
        <f t="shared" si="7"/>
        <v>0</v>
      </c>
      <c r="J36" s="16">
        <f t="shared" si="7"/>
        <v>0</v>
      </c>
      <c r="K36" s="16">
        <f t="shared" si="7"/>
        <v>0</v>
      </c>
      <c r="L36" s="16">
        <f t="shared" si="7"/>
        <v>120000</v>
      </c>
    </row>
    <row r="37" spans="2:12" x14ac:dyDescent="0.2">
      <c r="B37" t="s">
        <v>60</v>
      </c>
      <c r="D37" s="5">
        <v>120000</v>
      </c>
      <c r="E37" s="5"/>
      <c r="F37" s="5"/>
      <c r="G37" s="5"/>
      <c r="H37" s="5"/>
      <c r="I37" s="5"/>
      <c r="J37" s="5"/>
      <c r="K37" s="5"/>
      <c r="L37" s="13">
        <f>SUM(D37:K37)</f>
        <v>120000</v>
      </c>
    </row>
    <row r="38" spans="2:12" x14ac:dyDescent="0.2">
      <c r="B38" s="15" t="s">
        <v>61</v>
      </c>
      <c r="D38" s="16">
        <f t="shared" ref="D38:L38" si="8">D30+D34+D36</f>
        <v>120000</v>
      </c>
      <c r="E38" s="16">
        <f t="shared" si="8"/>
        <v>-70000</v>
      </c>
      <c r="F38" s="16">
        <f t="shared" si="8"/>
        <v>0</v>
      </c>
      <c r="G38" s="16">
        <f t="shared" si="8"/>
        <v>30000</v>
      </c>
      <c r="H38" s="16">
        <f t="shared" si="8"/>
        <v>0</v>
      </c>
      <c r="I38" s="16">
        <f t="shared" si="8"/>
        <v>-24000</v>
      </c>
      <c r="J38" s="16">
        <f t="shared" si="8"/>
        <v>-10000</v>
      </c>
      <c r="K38" s="16">
        <f t="shared" si="8"/>
        <v>9000</v>
      </c>
      <c r="L38" s="16">
        <f t="shared" si="8"/>
        <v>55000</v>
      </c>
    </row>
    <row r="39" spans="2:12" x14ac:dyDescent="0.2">
      <c r="B39" t="s">
        <v>62</v>
      </c>
      <c r="L39" s="12">
        <v>0</v>
      </c>
    </row>
    <row r="40" spans="2:12" x14ac:dyDescent="0.2">
      <c r="B40" s="15" t="s">
        <v>63</v>
      </c>
      <c r="L40" s="13">
        <f>L39+L38</f>
        <v>55000</v>
      </c>
    </row>
    <row r="42" spans="2:12" x14ac:dyDescent="0.2">
      <c r="B42" s="17" t="s">
        <v>64</v>
      </c>
      <c r="L42" s="13">
        <f>L40-L6</f>
        <v>0</v>
      </c>
    </row>
    <row r="44" spans="2:12" x14ac:dyDescent="0.2">
      <c r="B44" s="9" t="s">
        <v>65</v>
      </c>
    </row>
    <row r="45" spans="2:12" x14ac:dyDescent="0.2">
      <c r="B45" t="s">
        <v>66</v>
      </c>
      <c r="L45" s="19">
        <f>IF(L23=0,"",L25/L23)</f>
        <v>0.48076923076923078</v>
      </c>
    </row>
    <row r="46" spans="2:12" x14ac:dyDescent="0.2">
      <c r="B46" t="s">
        <v>67</v>
      </c>
      <c r="L46" s="19">
        <f>IF(L23=0,"",L27/L23)</f>
        <v>0.32692307692307693</v>
      </c>
    </row>
    <row r="47" spans="2:12" x14ac:dyDescent="0.2">
      <c r="B47" t="s">
        <v>68</v>
      </c>
      <c r="L47" s="19">
        <f>IF(L11=0,"",SUM(L16:L17)/L11)</f>
        <v>0.94482758620689655</v>
      </c>
    </row>
    <row r="48" spans="2:12" x14ac:dyDescent="0.2">
      <c r="B48" t="s">
        <v>69</v>
      </c>
      <c r="L48" s="19">
        <f>IF(SUM(L16:L17)=0,"",L27/SUM(L16:L17))</f>
        <v>0.12408759124087591</v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1"/>
  <sheetViews>
    <sheetView showGridLines="0" zoomScale="115" workbookViewId="0">
      <pane xSplit="2" ySplit="5" topLeftCell="C6" activePane="bottomRight" state="frozen"/>
      <selection pane="topRight"/>
      <selection pane="bottomLeft"/>
      <selection pane="bottomRight" sqref="A1:D1"/>
    </sheetView>
  </sheetViews>
  <sheetFormatPr baseColWidth="10" defaultColWidth="8.83203125" defaultRowHeight="15" x14ac:dyDescent="0.2"/>
  <cols>
    <col min="1" max="1" width="5" customWidth="1"/>
    <col min="2" max="2" width="46" customWidth="1"/>
    <col min="3" max="3" width="24" customWidth="1"/>
    <col min="4" max="4" width="13" customWidth="1"/>
    <col min="5" max="5" width="3" customWidth="1"/>
    <col min="6" max="6" width="24" customWidth="1"/>
    <col min="7" max="7" width="13" customWidth="1"/>
    <col min="8" max="8" width="3" customWidth="1"/>
    <col min="9" max="9" width="20" customWidth="1"/>
    <col min="10" max="10" width="13" customWidth="1"/>
    <col min="11" max="11" width="8" customWidth="1"/>
  </cols>
  <sheetData>
    <row r="1" spans="1:11" x14ac:dyDescent="0.2">
      <c r="A1" s="25" t="s">
        <v>0</v>
      </c>
      <c r="B1" s="23"/>
      <c r="C1" s="23"/>
      <c r="D1" s="23"/>
    </row>
    <row r="2" spans="1:11" x14ac:dyDescent="0.2">
      <c r="A2" s="1" t="s">
        <v>1</v>
      </c>
    </row>
    <row r="4" spans="1:11" x14ac:dyDescent="0.2">
      <c r="A4" s="2" t="s">
        <v>2</v>
      </c>
      <c r="B4" s="2" t="s">
        <v>3</v>
      </c>
      <c r="C4" s="20" t="s">
        <v>4</v>
      </c>
      <c r="D4" s="21"/>
      <c r="E4" s="2" t="s">
        <v>5</v>
      </c>
      <c r="F4" s="20" t="s">
        <v>6</v>
      </c>
      <c r="G4" s="21"/>
      <c r="H4" s="2" t="s">
        <v>7</v>
      </c>
      <c r="I4" s="20" t="s">
        <v>8</v>
      </c>
      <c r="J4" s="21"/>
      <c r="K4" s="2" t="s">
        <v>9</v>
      </c>
    </row>
    <row r="5" spans="1:11" x14ac:dyDescent="0.2">
      <c r="C5" s="3" t="s">
        <v>10</v>
      </c>
      <c r="D5" s="3" t="s">
        <v>11</v>
      </c>
      <c r="F5" s="3" t="s">
        <v>10</v>
      </c>
      <c r="G5" s="3" t="s">
        <v>11</v>
      </c>
      <c r="I5" s="3" t="s">
        <v>10</v>
      </c>
      <c r="J5" s="3" t="s">
        <v>11</v>
      </c>
    </row>
    <row r="6" spans="1:11" x14ac:dyDescent="0.2">
      <c r="A6" s="24">
        <v>1</v>
      </c>
      <c r="B6" s="22" t="s">
        <v>12</v>
      </c>
      <c r="C6" s="4" t="s">
        <v>31</v>
      </c>
      <c r="D6" s="5">
        <v>120000</v>
      </c>
      <c r="E6" s="6" t="s">
        <v>5</v>
      </c>
      <c r="F6" s="4"/>
      <c r="G6" s="5"/>
      <c r="H6" s="6" t="s">
        <v>7</v>
      </c>
      <c r="I6" s="4" t="s">
        <v>41</v>
      </c>
      <c r="J6" s="5">
        <v>120000</v>
      </c>
      <c r="K6" s="24" t="str">
        <f>IF(COUNT(D6:D7,G6:G7,J6:J7)=0,"",IF(SUM(D6:D7)-SUM(G6:G7)-SUM(J6:J7)=0,"✔","✗"))</f>
        <v>✔</v>
      </c>
    </row>
    <row r="7" spans="1:11" x14ac:dyDescent="0.2">
      <c r="A7" s="23"/>
      <c r="B7" s="23"/>
      <c r="C7" s="4"/>
      <c r="D7" s="5"/>
      <c r="E7" s="6" t="s">
        <v>5</v>
      </c>
      <c r="F7" s="4"/>
      <c r="G7" s="5"/>
      <c r="H7" s="6" t="s">
        <v>7</v>
      </c>
      <c r="I7" s="4"/>
      <c r="J7" s="5"/>
      <c r="K7" s="23"/>
    </row>
    <row r="8" spans="1:11" x14ac:dyDescent="0.2">
      <c r="A8" s="24">
        <v>2</v>
      </c>
      <c r="B8" s="22" t="s">
        <v>13</v>
      </c>
      <c r="C8" s="4" t="s">
        <v>31</v>
      </c>
      <c r="D8" s="5">
        <v>-70000</v>
      </c>
      <c r="E8" s="6" t="s">
        <v>5</v>
      </c>
      <c r="F8" s="4"/>
      <c r="G8" s="5"/>
      <c r="H8" s="6" t="s">
        <v>7</v>
      </c>
      <c r="I8" s="4"/>
      <c r="J8" s="5"/>
      <c r="K8" s="24" t="str">
        <f>IF(COUNT(D8:D9,G8:G9,J8:J9)=0,"",IF(SUM(D8:D9)-SUM(G8:G9)-SUM(J8:J9)=0,"✔","✗"))</f>
        <v>✔</v>
      </c>
    </row>
    <row r="9" spans="1:11" x14ac:dyDescent="0.2">
      <c r="A9" s="23"/>
      <c r="B9" s="23"/>
      <c r="C9" s="4" t="s">
        <v>35</v>
      </c>
      <c r="D9" s="5">
        <v>70000</v>
      </c>
      <c r="E9" s="6" t="s">
        <v>5</v>
      </c>
      <c r="F9" s="4"/>
      <c r="G9" s="5"/>
      <c r="H9" s="6" t="s">
        <v>7</v>
      </c>
      <c r="I9" s="4"/>
      <c r="J9" s="5"/>
      <c r="K9" s="23"/>
    </row>
    <row r="10" spans="1:11" x14ac:dyDescent="0.2">
      <c r="A10" s="24">
        <v>3</v>
      </c>
      <c r="B10" s="22" t="s">
        <v>14</v>
      </c>
      <c r="C10" s="4" t="s">
        <v>33</v>
      </c>
      <c r="D10" s="5">
        <v>18000</v>
      </c>
      <c r="E10" s="6" t="s">
        <v>5</v>
      </c>
      <c r="F10" s="4" t="s">
        <v>39</v>
      </c>
      <c r="G10" s="5">
        <v>18000</v>
      </c>
      <c r="H10" s="6" t="s">
        <v>7</v>
      </c>
      <c r="I10" s="4"/>
      <c r="J10" s="5"/>
      <c r="K10" s="24" t="str">
        <f>IF(COUNT(D10:D11,G10:G11,J10:J11)=0,"",IF(SUM(D10:D11)-SUM(G10:G11)-SUM(J10:J11)=0,"✔","✗"))</f>
        <v>✔</v>
      </c>
    </row>
    <row r="11" spans="1:11" x14ac:dyDescent="0.2">
      <c r="A11" s="23"/>
      <c r="B11" s="23"/>
      <c r="C11" s="4"/>
      <c r="D11" s="5"/>
      <c r="E11" s="6" t="s">
        <v>5</v>
      </c>
      <c r="F11" s="4"/>
      <c r="G11" s="5"/>
      <c r="H11" s="6" t="s">
        <v>7</v>
      </c>
      <c r="I11" s="4"/>
      <c r="J11" s="5"/>
      <c r="K11" s="23"/>
    </row>
    <row r="12" spans="1:11" x14ac:dyDescent="0.2">
      <c r="A12" s="24">
        <v>4</v>
      </c>
      <c r="B12" s="22" t="s">
        <v>15</v>
      </c>
      <c r="C12" s="4" t="s">
        <v>31</v>
      </c>
      <c r="D12" s="5">
        <v>30000</v>
      </c>
      <c r="E12" s="6" t="s">
        <v>5</v>
      </c>
      <c r="F12" s="4"/>
      <c r="G12" s="5"/>
      <c r="H12" s="6" t="s">
        <v>7</v>
      </c>
      <c r="I12" s="4" t="s">
        <v>42</v>
      </c>
      <c r="J12" s="5">
        <v>52000</v>
      </c>
      <c r="K12" s="24" t="str">
        <f>IF(COUNT(D12:D13,G12:G13,J12:J13)=0,"",IF(SUM(D12:D13)-SUM(G12:G13)-SUM(J12:J13)=0,"✔","✗"))</f>
        <v>✔</v>
      </c>
    </row>
    <row r="13" spans="1:11" x14ac:dyDescent="0.2">
      <c r="A13" s="23"/>
      <c r="B13" s="23"/>
      <c r="C13" s="4" t="s">
        <v>32</v>
      </c>
      <c r="D13" s="5">
        <v>22000</v>
      </c>
      <c r="E13" s="6" t="s">
        <v>5</v>
      </c>
      <c r="F13" s="4"/>
      <c r="G13" s="5"/>
      <c r="H13" s="6" t="s">
        <v>7</v>
      </c>
      <c r="I13" s="4"/>
      <c r="J13" s="5"/>
      <c r="K13" s="23"/>
    </row>
    <row r="14" spans="1:11" x14ac:dyDescent="0.2">
      <c r="A14" s="24">
        <v>5</v>
      </c>
      <c r="B14" s="22" t="s">
        <v>16</v>
      </c>
      <c r="C14" s="4" t="s">
        <v>33</v>
      </c>
      <c r="D14" s="5">
        <v>-11000</v>
      </c>
      <c r="E14" s="6" t="s">
        <v>5</v>
      </c>
      <c r="F14" s="4"/>
      <c r="G14" s="5"/>
      <c r="H14" s="6" t="s">
        <v>7</v>
      </c>
      <c r="I14" s="4" t="s">
        <v>42</v>
      </c>
      <c r="J14" s="5">
        <v>-11000</v>
      </c>
      <c r="K14" s="24" t="str">
        <f>IF(COUNT(D14:D15,G14:G15,J14:J15)=0,"",IF(SUM(D14:D15)-SUM(G14:G15)-SUM(J14:J15)=0,"✔","✗"))</f>
        <v>✔</v>
      </c>
    </row>
    <row r="15" spans="1:11" x14ac:dyDescent="0.2">
      <c r="A15" s="23"/>
      <c r="B15" s="23"/>
      <c r="C15" s="4"/>
      <c r="D15" s="5"/>
      <c r="E15" s="6" t="s">
        <v>5</v>
      </c>
      <c r="F15" s="4"/>
      <c r="G15" s="5"/>
      <c r="H15" s="6" t="s">
        <v>7</v>
      </c>
      <c r="I15" s="4"/>
      <c r="J15" s="5"/>
      <c r="K15" s="23"/>
    </row>
    <row r="16" spans="1:11" x14ac:dyDescent="0.2">
      <c r="A16" s="24">
        <v>6</v>
      </c>
      <c r="B16" s="22" t="s">
        <v>17</v>
      </c>
      <c r="C16" s="4" t="s">
        <v>31</v>
      </c>
      <c r="D16" s="5">
        <v>-24000</v>
      </c>
      <c r="E16" s="6" t="s">
        <v>5</v>
      </c>
      <c r="F16" s="4"/>
      <c r="G16" s="5"/>
      <c r="H16" s="6" t="s">
        <v>7</v>
      </c>
      <c r="I16" s="4" t="s">
        <v>42</v>
      </c>
      <c r="J16" s="5">
        <v>-24000</v>
      </c>
      <c r="K16" s="24" t="str">
        <f>IF(COUNT(D16:D17,G16:G17,J16:J17)=0,"",IF(SUM(D16:D17)-SUM(G16:G17)-SUM(J16:J17)=0,"✔","✗"))</f>
        <v>✔</v>
      </c>
    </row>
    <row r="17" spans="1:11" x14ac:dyDescent="0.2">
      <c r="A17" s="23"/>
      <c r="B17" s="23"/>
      <c r="C17" s="4"/>
      <c r="D17" s="5"/>
      <c r="E17" s="6" t="s">
        <v>5</v>
      </c>
      <c r="F17" s="4"/>
      <c r="G17" s="5"/>
      <c r="H17" s="6" t="s">
        <v>7</v>
      </c>
      <c r="I17" s="4"/>
      <c r="J17" s="5"/>
      <c r="K17" s="23"/>
    </row>
    <row r="18" spans="1:11" x14ac:dyDescent="0.2">
      <c r="A18" s="24">
        <v>7</v>
      </c>
      <c r="B18" s="22" t="s">
        <v>18</v>
      </c>
      <c r="C18" s="4" t="s">
        <v>31</v>
      </c>
      <c r="D18" s="5">
        <v>-10000</v>
      </c>
      <c r="E18" s="6" t="s">
        <v>5</v>
      </c>
      <c r="F18" s="4" t="s">
        <v>39</v>
      </c>
      <c r="G18" s="5">
        <v>-10000</v>
      </c>
      <c r="H18" s="6" t="s">
        <v>7</v>
      </c>
      <c r="I18" s="4"/>
      <c r="J18" s="5"/>
      <c r="K18" s="24" t="str">
        <f>IF(COUNT(D18:D19,G18:G19,J18:J19)=0,"",IF(SUM(D18:D19)-SUM(G18:G19)-SUM(J18:J19)=0,"✔","✗"))</f>
        <v>✔</v>
      </c>
    </row>
    <row r="19" spans="1:11" x14ac:dyDescent="0.2">
      <c r="A19" s="23"/>
      <c r="B19" s="23"/>
      <c r="C19" s="4"/>
      <c r="D19" s="5"/>
      <c r="E19" s="6" t="s">
        <v>5</v>
      </c>
      <c r="F19" s="4"/>
      <c r="G19" s="5"/>
      <c r="H19" s="6" t="s">
        <v>7</v>
      </c>
      <c r="I19" s="4"/>
      <c r="J19" s="5"/>
      <c r="K19" s="23"/>
    </row>
    <row r="20" spans="1:11" x14ac:dyDescent="0.2">
      <c r="A20" s="24">
        <v>8</v>
      </c>
      <c r="B20" s="22" t="s">
        <v>19</v>
      </c>
      <c r="C20" s="4" t="s">
        <v>31</v>
      </c>
      <c r="D20" s="5">
        <v>9000</v>
      </c>
      <c r="E20" s="6" t="s">
        <v>5</v>
      </c>
      <c r="F20" s="4"/>
      <c r="G20" s="5"/>
      <c r="H20" s="6" t="s">
        <v>7</v>
      </c>
      <c r="I20" s="4"/>
      <c r="J20" s="5"/>
      <c r="K20" s="24" t="str">
        <f>IF(COUNT(D20:D21,G20:G21,J20:J21)=0,"",IF(SUM(D20:D21)-SUM(G20:G21)-SUM(J20:J21)=0,"✔","✗"))</f>
        <v>✔</v>
      </c>
    </row>
    <row r="21" spans="1:11" x14ac:dyDescent="0.2">
      <c r="A21" s="23"/>
      <c r="B21" s="23"/>
      <c r="C21" s="4" t="s">
        <v>32</v>
      </c>
      <c r="D21" s="5">
        <v>-9000</v>
      </c>
      <c r="E21" s="6" t="s">
        <v>5</v>
      </c>
      <c r="F21" s="4"/>
      <c r="G21" s="5"/>
      <c r="H21" s="6" t="s">
        <v>7</v>
      </c>
      <c r="I21" s="4"/>
      <c r="J21" s="5"/>
      <c r="K21" s="23"/>
    </row>
  </sheetData>
  <mergeCells count="28">
    <mergeCell ref="A1:D1"/>
    <mergeCell ref="A8:A9"/>
    <mergeCell ref="K14:K15"/>
    <mergeCell ref="K20:K21"/>
    <mergeCell ref="K8:K9"/>
    <mergeCell ref="A20:A21"/>
    <mergeCell ref="B20:B21"/>
    <mergeCell ref="A10:A11"/>
    <mergeCell ref="K10:K11"/>
    <mergeCell ref="I4:J4"/>
    <mergeCell ref="K16:K17"/>
    <mergeCell ref="K6:K7"/>
    <mergeCell ref="B16:B17"/>
    <mergeCell ref="K18:K19"/>
    <mergeCell ref="K12:K13"/>
    <mergeCell ref="B10:B11"/>
    <mergeCell ref="B6:B7"/>
    <mergeCell ref="A18:A19"/>
    <mergeCell ref="A14:A15"/>
    <mergeCell ref="F4:G4"/>
    <mergeCell ref="B12:B13"/>
    <mergeCell ref="B18:B19"/>
    <mergeCell ref="B8:B9"/>
    <mergeCell ref="A16:A17"/>
    <mergeCell ref="A6:A7"/>
    <mergeCell ref="B14:B15"/>
    <mergeCell ref="C4:D4"/>
    <mergeCell ref="A12:A13"/>
  </mergeCells>
  <dataValidations count="3">
    <dataValidation type="list" allowBlank="1" sqref="C6 C7 C8 C9 C10 C11 C12 C13 C14 C15 C16 C17 C18 C19 C20 C21" xr:uid="{00000000-0002-0000-0300-000000000000}">
      <formula1>"Caixa,Contas a Receber,Estoque de Insumos,Imobilizado"</formula1>
    </dataValidation>
    <dataValidation type="list" allowBlank="1" sqref="F6 F7 F8 F9 F10 F11 F12 F13 F14 F15 F16 F17 F18 F19 F20 F21" xr:uid="{00000000-0002-0000-0300-000001000000}">
      <formula1>"Contas a Pagar"</formula1>
    </dataValidation>
    <dataValidation type="list" allowBlank="1" sqref="I6 I7 I8 I9 I10 I11 I12 I13 I14 I15 I16 I17 I18 I19 I20 I21" xr:uid="{00000000-0002-0000-0300-000002000000}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Equação</vt:lpstr>
      <vt:lpstr>Plan</vt:lpstr>
      <vt:lpstr>Gabarito</vt:lpstr>
      <vt:lpstr>Gabarito Equação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Arthur Malucelli</cp:lastModifiedBy>
  <dcterms:created xsi:type="dcterms:W3CDTF">2026-08-10T22:15:44Z</dcterms:created>
  <dcterms:modified xsi:type="dcterms:W3CDTF">2026-08-11T00:49:08Z</dcterms:modified>
</cp:coreProperties>
</file>