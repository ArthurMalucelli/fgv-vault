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ção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Gabarito" sheetId="3" state="visible" r:id="rId3"/>
    <sheet xmlns:r="http://schemas.openxmlformats.org/officeDocument/2006/relationships" name="Gabarito Equaç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;&quot;-&quot;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  <sz val="9"/>
    </font>
    <font>
      <b val="1"/>
    </font>
    <font>
      <i val="1"/>
      <color rgb="00808080"/>
      <sz val="8"/>
    </font>
    <font>
      <b val="1"/>
      <i val="1"/>
      <sz val="9"/>
    </font>
    <font>
      <b val="1"/>
      <i val="1"/>
    </font>
    <font>
      <b val="1"/>
      <color rgb="00C00000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4" borderId="1" pivotButton="0" quotePrefix="0" xfId="0"/>
    <xf numFmtId="164" fontId="0" fillId="4" borderId="1" pivotButton="0" quotePrefix="0" xfId="0"/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0" fontId="4" fillId="0" borderId="0" applyAlignment="1" pivotButton="0" quotePrefix="0" xfId="0">
      <alignment vertical="bottom" wrapText="1"/>
    </xf>
    <xf numFmtId="0" fontId="3" fillId="3" borderId="0" pivotButton="0" quotePrefix="0" xfId="0"/>
    <xf numFmtId="0" fontId="3" fillId="5" borderId="0" pivotButton="0" quotePrefix="0" xfId="0"/>
    <xf numFmtId="0" fontId="6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164" fontId="3" fillId="5" borderId="0" pivotButton="0" quotePrefix="0" xfId="0"/>
    <xf numFmtId="0" fontId="7" fillId="0" borderId="0" pivotButton="0" quotePrefix="0" xfId="0"/>
    <xf numFmtId="0" fontId="8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4" customWidth="1" min="3" max="3"/>
    <col width="13" customWidth="1" min="4" max="4"/>
    <col width="3" customWidth="1" min="5" max="5"/>
    <col width="24" customWidth="1" min="6" max="6"/>
    <col width="13" customWidth="1" min="7" max="7"/>
    <col width="3" customWidth="1" min="8" max="8"/>
    <col width="20" customWidth="1" min="9" max="9"/>
    <col width="13" customWidth="1" min="10" max="10"/>
    <col width="8" customWidth="1" min="11" max="11"/>
  </cols>
  <sheetData>
    <row r="1">
      <c r="A1" s="1" t="inlineStr">
        <is>
          <t>Clínica Vetor (serviços veterinários)  |  Efeito das transações na Equação do Balanço</t>
        </is>
      </c>
    </row>
    <row r="2">
      <c r="A2" s="2" t="inlineStr">
        <is>
          <t>Uma linha por movimento: escreve a conta e o valor, com sinal. Transação que mexe em três contas do mesmo lado usa as três linhas. A coluna Check acusa se aquela transação fechou.</t>
        </is>
      </c>
    </row>
    <row r="4">
      <c r="A4" s="3" t="inlineStr">
        <is>
          <t>Nº</t>
        </is>
      </c>
      <c r="B4" s="3" t="inlineStr">
        <is>
          <t>Descrição</t>
        </is>
      </c>
      <c r="C4" s="3" t="inlineStr">
        <is>
          <t>ATIVO</t>
        </is>
      </c>
      <c r="D4" s="4" t="n"/>
      <c r="E4" s="3" t="inlineStr">
        <is>
          <t>=</t>
        </is>
      </c>
      <c r="F4" s="3" t="inlineStr">
        <is>
          <t>PASSIVO</t>
        </is>
      </c>
      <c r="G4" s="4" t="n"/>
      <c r="H4" s="3" t="inlineStr">
        <is>
          <t>+</t>
        </is>
      </c>
      <c r="I4" s="3" t="inlineStr">
        <is>
          <t>PATRIMÔNIO LÍQUIDO</t>
        </is>
      </c>
      <c r="J4" s="4" t="n"/>
      <c r="K4" s="3" t="inlineStr">
        <is>
          <t>Check</t>
        </is>
      </c>
    </row>
    <row r="5">
      <c r="C5" s="5" t="inlineStr">
        <is>
          <t>conta</t>
        </is>
      </c>
      <c r="D5" s="5" t="inlineStr">
        <is>
          <t>valor</t>
        </is>
      </c>
      <c r="F5" s="5" t="inlineStr">
        <is>
          <t>conta</t>
        </is>
      </c>
      <c r="G5" s="5" t="inlineStr">
        <is>
          <t>valor</t>
        </is>
      </c>
      <c r="I5" s="5" t="inlineStr">
        <is>
          <t>conta</t>
        </is>
      </c>
      <c r="J5" s="5" t="inlineStr">
        <is>
          <t>valor</t>
        </is>
      </c>
    </row>
    <row r="6">
      <c r="A6" s="6" t="n">
        <v>1</v>
      </c>
      <c r="B6" s="7" t="inlineStr">
        <is>
          <t>Integralização de capital de R$ 120.000 em dinheiro</t>
        </is>
      </c>
      <c r="C6" s="8" t="n"/>
      <c r="D6" s="9" t="n"/>
      <c r="E6" s="10" t="inlineStr">
        <is>
          <t>=</t>
        </is>
      </c>
      <c r="F6" s="8" t="n"/>
      <c r="G6" s="9" t="n"/>
      <c r="H6" s="10" t="inlineStr">
        <is>
          <t>+</t>
        </is>
      </c>
      <c r="I6" s="8" t="n"/>
      <c r="J6" s="9" t="n"/>
      <c r="K6" s="6">
        <f>IF(COUNT(D6:D7,G6:G7,J6:J7)=0,"",IF(SUM(D6:D7)-SUM(G6:G7)-SUM(J6:J7)=0,"✔","✗"))</f>
        <v/>
      </c>
    </row>
    <row r="7">
      <c r="C7" s="8" t="n"/>
      <c r="D7" s="9" t="n"/>
      <c r="E7" s="10" t="inlineStr">
        <is>
          <t>=</t>
        </is>
      </c>
      <c r="F7" s="8" t="n"/>
      <c r="G7" s="9" t="n"/>
      <c r="H7" s="10" t="inlineStr">
        <is>
          <t>+</t>
        </is>
      </c>
      <c r="I7" s="8" t="n"/>
      <c r="J7" s="9" t="n"/>
    </row>
    <row r="8">
      <c r="A8" s="6" t="n">
        <v>2</v>
      </c>
      <c r="B8" s="7" t="inlineStr">
        <is>
          <t>Compra à vista de equipamentos veterinários por R$ 70.000</t>
        </is>
      </c>
      <c r="C8" s="8" t="n"/>
      <c r="D8" s="9" t="n"/>
      <c r="E8" s="10" t="inlineStr">
        <is>
          <t>=</t>
        </is>
      </c>
      <c r="F8" s="8" t="n"/>
      <c r="G8" s="9" t="n"/>
      <c r="H8" s="10" t="inlineStr">
        <is>
          <t>+</t>
        </is>
      </c>
      <c r="I8" s="8" t="n"/>
      <c r="J8" s="9" t="n"/>
      <c r="K8" s="6">
        <f>IF(COUNT(D8:D9,G8:G9,J8:J9)=0,"",IF(SUM(D8:D9)-SUM(G8:G9)-SUM(J8:J9)=0,"✔","✗"))</f>
        <v/>
      </c>
    </row>
    <row r="9">
      <c r="C9" s="8" t="n"/>
      <c r="D9" s="9" t="n"/>
      <c r="E9" s="10" t="inlineStr">
        <is>
          <t>=</t>
        </is>
      </c>
      <c r="F9" s="8" t="n"/>
      <c r="G9" s="9" t="n"/>
      <c r="H9" s="10" t="inlineStr">
        <is>
          <t>+</t>
        </is>
      </c>
      <c r="I9" s="8" t="n"/>
      <c r="J9" s="9" t="n"/>
    </row>
    <row r="10">
      <c r="A10" s="6" t="n">
        <v>3</v>
      </c>
      <c r="B10" s="7" t="inlineStr">
        <is>
          <t>Compra de medicamentos e insumos por R$ 18.000, integralmente a prazo</t>
        </is>
      </c>
      <c r="C10" s="8" t="n"/>
      <c r="D10" s="9" t="n"/>
      <c r="E10" s="10" t="inlineStr">
        <is>
          <t>=</t>
        </is>
      </c>
      <c r="F10" s="8" t="n"/>
      <c r="G10" s="9" t="n"/>
      <c r="H10" s="10" t="inlineStr">
        <is>
          <t>+</t>
        </is>
      </c>
      <c r="I10" s="8" t="n"/>
      <c r="J10" s="9" t="n"/>
      <c r="K10" s="6">
        <f>IF(COUNT(D10:D11,G10:G11,J10:J11)=0,"",IF(SUM(D10:D11)-SUM(G10:G11)-SUM(J10:J11)=0,"✔","✗"))</f>
        <v/>
      </c>
    </row>
    <row r="11">
      <c r="C11" s="8" t="n"/>
      <c r="D11" s="9" t="n"/>
      <c r="E11" s="10" t="inlineStr">
        <is>
          <t>=</t>
        </is>
      </c>
      <c r="F11" s="8" t="n"/>
      <c r="G11" s="9" t="n"/>
      <c r="H11" s="10" t="inlineStr">
        <is>
          <t>+</t>
        </is>
      </c>
      <c r="I11" s="8" t="n"/>
      <c r="J11" s="9" t="n"/>
    </row>
    <row r="12">
      <c r="A12" s="6" t="n">
        <v>4</v>
      </c>
      <c r="B12" s="7" t="inlineStr">
        <is>
          <t>Serviços prestados no mês: R$ 52.000, sendo R$ 30.000 à vista e R$ 22.000 a receber de convênios</t>
        </is>
      </c>
      <c r="C12" s="8" t="n"/>
      <c r="D12" s="9" t="n"/>
      <c r="E12" s="10" t="inlineStr">
        <is>
          <t>=</t>
        </is>
      </c>
      <c r="F12" s="8" t="n"/>
      <c r="G12" s="9" t="n"/>
      <c r="H12" s="10" t="inlineStr">
        <is>
          <t>+</t>
        </is>
      </c>
      <c r="I12" s="8" t="n"/>
      <c r="J12" s="9" t="n"/>
      <c r="K12" s="6">
        <f>IF(COUNT(D12:D13,G12:G13,J12:J13)=0,"",IF(SUM(D12:D13)-SUM(G12:G13)-SUM(J12:J13)=0,"✔","✗"))</f>
        <v/>
      </c>
    </row>
    <row r="13">
      <c r="C13" s="8" t="n"/>
      <c r="D13" s="9" t="n"/>
      <c r="E13" s="10" t="inlineStr">
        <is>
          <t>=</t>
        </is>
      </c>
      <c r="F13" s="8" t="n"/>
      <c r="G13" s="9" t="n"/>
      <c r="H13" s="10" t="inlineStr">
        <is>
          <t>+</t>
        </is>
      </c>
      <c r="I13" s="8" t="n"/>
      <c r="J13" s="9" t="n"/>
    </row>
    <row r="14">
      <c r="A14" s="6" t="n">
        <v>5</v>
      </c>
      <c r="B14" s="7" t="inlineStr">
        <is>
          <t>Consumo de R$ 11.000 de medicamentos e insumos nos atendimentos do mês</t>
        </is>
      </c>
      <c r="C14" s="8" t="n"/>
      <c r="D14" s="9" t="n"/>
      <c r="E14" s="10" t="inlineStr">
        <is>
          <t>=</t>
        </is>
      </c>
      <c r="F14" s="8" t="n"/>
      <c r="G14" s="9" t="n"/>
      <c r="H14" s="10" t="inlineStr">
        <is>
          <t>+</t>
        </is>
      </c>
      <c r="I14" s="8" t="n"/>
      <c r="J14" s="9" t="n"/>
      <c r="K14" s="6">
        <f>IF(COUNT(D14:D15,G14:G15,J14:J15)=0,"",IF(SUM(D14:D15)-SUM(G14:G15)-SUM(J14:J15)=0,"✔","✗"))</f>
        <v/>
      </c>
    </row>
    <row r="15">
      <c r="C15" s="8" t="n"/>
      <c r="D15" s="9" t="n"/>
      <c r="E15" s="10" t="inlineStr">
        <is>
          <t>=</t>
        </is>
      </c>
      <c r="F15" s="8" t="n"/>
      <c r="G15" s="9" t="n"/>
      <c r="H15" s="10" t="inlineStr">
        <is>
          <t>+</t>
        </is>
      </c>
      <c r="I15" s="8" t="n"/>
      <c r="J15" s="9" t="n"/>
    </row>
    <row r="16">
      <c r="A16" s="6" t="n">
        <v>6</v>
      </c>
      <c r="B16" s="7" t="inlineStr">
        <is>
          <t>Pagamento à vista de salários: R$ 16.000 dos veterinários e R$ 8.000 da recepção e do administrativo</t>
        </is>
      </c>
      <c r="C16" s="8" t="n"/>
      <c r="D16" s="9" t="n"/>
      <c r="E16" s="10" t="inlineStr">
        <is>
          <t>=</t>
        </is>
      </c>
      <c r="F16" s="8" t="n"/>
      <c r="G16" s="9" t="n"/>
      <c r="H16" s="10" t="inlineStr">
        <is>
          <t>+</t>
        </is>
      </c>
      <c r="I16" s="8" t="n"/>
      <c r="J16" s="9" t="n"/>
      <c r="K16" s="6">
        <f>IF(COUNT(D16:D17,G16:G17,J16:J17)=0,"",IF(SUM(D16:D17)-SUM(G16:G17)-SUM(J16:J17)=0,"✔","✗"))</f>
        <v/>
      </c>
    </row>
    <row r="17">
      <c r="C17" s="8" t="n"/>
      <c r="D17" s="9" t="n"/>
      <c r="E17" s="10" t="inlineStr">
        <is>
          <t>=</t>
        </is>
      </c>
      <c r="F17" s="8" t="n"/>
      <c r="G17" s="9" t="n"/>
      <c r="H17" s="10" t="inlineStr">
        <is>
          <t>+</t>
        </is>
      </c>
      <c r="I17" s="8" t="n"/>
      <c r="J17" s="9" t="n"/>
    </row>
    <row r="18">
      <c r="A18" s="6" t="n">
        <v>7</v>
      </c>
      <c r="B18" s="7" t="inlineStr">
        <is>
          <t>Pagamento de R$ 10.000 a fornecedores</t>
        </is>
      </c>
      <c r="C18" s="8" t="n"/>
      <c r="D18" s="9" t="n"/>
      <c r="E18" s="10" t="inlineStr">
        <is>
          <t>=</t>
        </is>
      </c>
      <c r="F18" s="8" t="n"/>
      <c r="G18" s="9" t="n"/>
      <c r="H18" s="10" t="inlineStr">
        <is>
          <t>+</t>
        </is>
      </c>
      <c r="I18" s="8" t="n"/>
      <c r="J18" s="9" t="n"/>
      <c r="K18" s="6">
        <f>IF(COUNT(D18:D19,G18:G19,J18:J19)=0,"",IF(SUM(D18:D19)-SUM(G18:G19)-SUM(J18:J19)=0,"✔","✗"))</f>
        <v/>
      </c>
    </row>
    <row r="19">
      <c r="C19" s="8" t="n"/>
      <c r="D19" s="9" t="n"/>
      <c r="E19" s="10" t="inlineStr">
        <is>
          <t>=</t>
        </is>
      </c>
      <c r="F19" s="8" t="n"/>
      <c r="G19" s="9" t="n"/>
      <c r="H19" s="10" t="inlineStr">
        <is>
          <t>+</t>
        </is>
      </c>
      <c r="I19" s="8" t="n"/>
      <c r="J19" s="9" t="n"/>
    </row>
    <row r="20">
      <c r="A20" s="6" t="n">
        <v>8</v>
      </c>
      <c r="B20" s="7" t="inlineStr">
        <is>
          <t>Recebimento de R$ 9.000 dos convênios</t>
        </is>
      </c>
      <c r="C20" s="8" t="n"/>
      <c r="D20" s="9" t="n"/>
      <c r="E20" s="10" t="inlineStr">
        <is>
          <t>=</t>
        </is>
      </c>
      <c r="F20" s="8" t="n"/>
      <c r="G20" s="9" t="n"/>
      <c r="H20" s="10" t="inlineStr">
        <is>
          <t>+</t>
        </is>
      </c>
      <c r="I20" s="8" t="n"/>
      <c r="J20" s="9" t="n"/>
      <c r="K20" s="6">
        <f>IF(COUNT(D20:D21,G20:G21,J20:J21)=0,"",IF(SUM(D20:D21)-SUM(G20:G21)-SUM(J20:J21)=0,"✔","✗"))</f>
        <v/>
      </c>
    </row>
    <row r="21">
      <c r="C21" s="8" t="n"/>
      <c r="D21" s="9" t="n"/>
      <c r="E21" s="10" t="inlineStr">
        <is>
          <t>=</t>
        </is>
      </c>
      <c r="F21" s="8" t="n"/>
      <c r="G21" s="9" t="n"/>
      <c r="H21" s="10" t="inlineStr">
        <is>
          <t>+</t>
        </is>
      </c>
      <c r="I21" s="8" t="n"/>
      <c r="J21" s="9" t="n"/>
    </row>
  </sheetData>
  <mergeCells count="28">
    <mergeCell ref="F4:G4"/>
    <mergeCell ref="B12:B13"/>
    <mergeCell ref="B18:B19"/>
    <mergeCell ref="B8:B9"/>
    <mergeCell ref="A16:A17"/>
    <mergeCell ref="A6:A7"/>
    <mergeCell ref="B14:B15"/>
    <mergeCell ref="C4:D4"/>
    <mergeCell ref="A12:A13"/>
    <mergeCell ref="K12:K13"/>
    <mergeCell ref="B10:B11"/>
    <mergeCell ref="B6:B7"/>
    <mergeCell ref="A18:A19"/>
    <mergeCell ref="A14:A15"/>
    <mergeCell ref="A1:D1"/>
    <mergeCell ref="A8:A9"/>
    <mergeCell ref="K14:K15"/>
    <mergeCell ref="K20:K21"/>
    <mergeCell ref="K8:K9"/>
    <mergeCell ref="A20:A21"/>
    <mergeCell ref="B20:B21"/>
    <mergeCell ref="A10:A11"/>
    <mergeCell ref="K10:K11"/>
    <mergeCell ref="I4:J4"/>
    <mergeCell ref="K16:K17"/>
    <mergeCell ref="K6:K7"/>
    <mergeCell ref="B16:B17"/>
    <mergeCell ref="K18:K19"/>
  </mergeCells>
  <dataValidations count="3">
    <dataValidation sqref="C6 C7 C8 C9 C10 C11 C12 C13 C14 C15 C16 C17 C18 C19 C20 C21" showDropDown="0" showInputMessage="0" showErrorMessage="0" allowBlank="1" type="list">
      <formula1>"Caixa,Contas a Receber,Estoque de Insumos,Imobilizado"</formula1>
    </dataValidation>
    <dataValidation sqref="F6 F7 F8 F9 F10 F11 F12 F13 F14 F15 F16 F17 F18 F19 F20 F21" showDropDown="0" showInputMessage="0" showErrorMessage="0" allowBlank="1" type="list">
      <formula1>"Contas a Pagar"</formula1>
    </dataValidation>
    <dataValidation sqref="I6 I7 I8 I9 I10 I11 I12 I13 I14 I15 I16 I17 I18 I19 I20 I21" showDropDown="0" showInputMessage="0" showErrorMessage="0" allowBlank="1" type="list">
      <formula1>"Capital Social,Lucros Acumulados"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4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3" customWidth="1" min="13" max="13"/>
    <col width="13" customWidth="1" min="14" max="14"/>
  </cols>
  <sheetData>
    <row r="1">
      <c r="B1" s="1" t="inlineStr">
        <is>
          <t>Clínica Vetor (serviços veterinários)</t>
        </is>
      </c>
      <c r="D1" s="11" t="inlineStr">
        <is>
          <t>Transações, por Número e Descrição</t>
        </is>
      </c>
    </row>
    <row r="2" ht="42" customHeight="1">
      <c r="B2" s="2" t="inlineStr">
        <is>
          <t>Mês 1  |  valores em R$</t>
        </is>
      </c>
      <c r="D2" s="12" t="inlineStr">
        <is>
          <t>Integralização de capital de R$ 120.000 em dinheiro</t>
        </is>
      </c>
      <c r="E2" s="12" t="inlineStr">
        <is>
          <t>Compra à vista de equipamentos veterinários por R$ 70.000</t>
        </is>
      </c>
      <c r="F2" s="12" t="inlineStr">
        <is>
          <t>Compra de medicamentos e insumos por R$ 18.000, integralment</t>
        </is>
      </c>
      <c r="G2" s="12" t="inlineStr">
        <is>
          <t>Serviços prestados no mês: R$ 52.000, sendo R$ 30.000 à vist</t>
        </is>
      </c>
      <c r="H2" s="12" t="inlineStr">
        <is>
          <t>Consumo de R$ 11.000 de medicamentos e insumos nos atendimen</t>
        </is>
      </c>
      <c r="I2" s="12" t="inlineStr">
        <is>
          <t xml:space="preserve">Pagamento à vista de salários: R$ 16.000 dos veterinários e </t>
        </is>
      </c>
      <c r="J2" s="12" t="inlineStr">
        <is>
          <t>Pagamento de R$ 10.000 a fornecedores</t>
        </is>
      </c>
      <c r="K2" s="12" t="inlineStr">
        <is>
          <t>Recebimento de R$ 9.000 dos convênios</t>
        </is>
      </c>
    </row>
    <row r="3">
      <c r="B3" s="13" t="inlineStr">
        <is>
          <t>Balanço Patrimonial</t>
        </is>
      </c>
      <c r="C3" s="13" t="inlineStr">
        <is>
          <t>Balanço Inicial</t>
        </is>
      </c>
      <c r="D3" s="3" t="n">
        <v>1</v>
      </c>
      <c r="E3" s="3" t="n">
        <v>2</v>
      </c>
      <c r="F3" s="3" t="n">
        <v>3</v>
      </c>
      <c r="G3" s="3" t="n">
        <v>4</v>
      </c>
      <c r="H3" s="3" t="n">
        <v>5</v>
      </c>
      <c r="I3" s="3" t="n">
        <v>6</v>
      </c>
      <c r="J3" s="3" t="n">
        <v>7</v>
      </c>
      <c r="K3" s="3" t="n">
        <v>8</v>
      </c>
      <c r="L3" s="13" t="inlineStr">
        <is>
          <t>Balanço Final</t>
        </is>
      </c>
    </row>
    <row r="4">
      <c r="B4" s="14" t="inlineStr">
        <is>
          <t>ATIVO</t>
        </is>
      </c>
    </row>
    <row r="5">
      <c r="B5" s="15" t="inlineStr">
        <is>
          <t>Ativo Circulante</t>
        </is>
      </c>
    </row>
    <row r="6">
      <c r="B6" t="inlineStr">
        <is>
          <t>Caixa</t>
        </is>
      </c>
      <c r="C6" s="16" t="n"/>
      <c r="D6" s="9" t="n"/>
      <c r="E6" s="9" t="n"/>
      <c r="F6" s="9" t="n"/>
      <c r="G6" s="9" t="n"/>
      <c r="H6" s="9" t="n"/>
      <c r="I6" s="9" t="n"/>
      <c r="J6" s="9" t="n"/>
      <c r="K6" s="9" t="n"/>
      <c r="L6" s="17">
        <f>C6+SUM(D6:K6)</f>
        <v/>
      </c>
      <c r="N6" s="18">
        <f>IF(COUNT(D6:K6)=0,"",IF(ABS(L6-Gabarito!L6)&lt;0.5,"✔","✗"))</f>
        <v/>
      </c>
    </row>
    <row r="7">
      <c r="B7" t="inlineStr">
        <is>
          <t>Contas a Receber</t>
        </is>
      </c>
      <c r="C7" s="16" t="n"/>
      <c r="D7" s="9" t="n"/>
      <c r="E7" s="9" t="n"/>
      <c r="F7" s="9" t="n"/>
      <c r="G7" s="9" t="n"/>
      <c r="H7" s="9" t="n"/>
      <c r="I7" s="9" t="n"/>
      <c r="J7" s="9" t="n"/>
      <c r="K7" s="9" t="n"/>
      <c r="L7" s="17">
        <f>C7+SUM(D7:K7)</f>
        <v/>
      </c>
      <c r="N7" s="18">
        <f>IF(COUNT(D7:K7)=0,"",IF(ABS(L7-Gabarito!L7)&lt;0.5,"✔","✗"))</f>
        <v/>
      </c>
    </row>
    <row r="8">
      <c r="B8" t="inlineStr">
        <is>
          <t>Estoque de Insumos</t>
        </is>
      </c>
      <c r="C8" s="16" t="n"/>
      <c r="D8" s="9" t="n"/>
      <c r="E8" s="9" t="n"/>
      <c r="F8" s="9" t="n"/>
      <c r="G8" s="9" t="n"/>
      <c r="H8" s="9" t="n"/>
      <c r="I8" s="9" t="n"/>
      <c r="J8" s="9" t="n"/>
      <c r="K8" s="9" t="n"/>
      <c r="L8" s="17">
        <f>C8+SUM(D8:K8)</f>
        <v/>
      </c>
      <c r="N8" s="18">
        <f>IF(COUNT(D8:K8)=0,"",IF(ABS(L8-Gabarito!L8)&lt;0.5,"✔","✗"))</f>
        <v/>
      </c>
    </row>
    <row r="9">
      <c r="B9" s="15" t="inlineStr">
        <is>
          <t>Ativo Não Circulante</t>
        </is>
      </c>
    </row>
    <row r="10">
      <c r="B10" t="inlineStr">
        <is>
          <t>Imobilizado</t>
        </is>
      </c>
      <c r="C10" s="16" t="n"/>
      <c r="D10" s="9" t="n"/>
      <c r="E10" s="9" t="n"/>
      <c r="F10" s="9" t="n"/>
      <c r="G10" s="9" t="n"/>
      <c r="H10" s="9" t="n"/>
      <c r="I10" s="9" t="n"/>
      <c r="J10" s="9" t="n"/>
      <c r="K10" s="9" t="n"/>
      <c r="L10" s="17">
        <f>C10+SUM(D10:K10)</f>
        <v/>
      </c>
      <c r="N10" s="18">
        <f>IF(COUNT(D10:K10)=0,"",IF(ABS(L10-Gabarito!L10)&lt;0.5,"✔","✗"))</f>
        <v/>
      </c>
    </row>
    <row r="11">
      <c r="B11" s="19" t="inlineStr">
        <is>
          <t xml:space="preserve">  Total do Ativo</t>
        </is>
      </c>
      <c r="C11" s="20">
        <f>SUM(C6:C10)</f>
        <v/>
      </c>
      <c r="D11" s="20">
        <f>SUM(D6:D10)</f>
        <v/>
      </c>
      <c r="E11" s="20">
        <f>SUM(E6:E10)</f>
        <v/>
      </c>
      <c r="F11" s="20">
        <f>SUM(F6:F10)</f>
        <v/>
      </c>
      <c r="G11" s="20">
        <f>SUM(G6:G10)</f>
        <v/>
      </c>
      <c r="H11" s="20">
        <f>SUM(H6:H10)</f>
        <v/>
      </c>
      <c r="I11" s="20">
        <f>SUM(I6:I10)</f>
        <v/>
      </c>
      <c r="J11" s="20">
        <f>SUM(J6:J10)</f>
        <v/>
      </c>
      <c r="K11" s="20">
        <f>SUM(K6:K10)</f>
        <v/>
      </c>
      <c r="L11" s="20">
        <f>SUM(L6:L10)</f>
        <v/>
      </c>
    </row>
    <row r="12">
      <c r="B12" s="14" t="inlineStr">
        <is>
          <t>PASSIVO E PATRIM. LÍQUIDO</t>
        </is>
      </c>
    </row>
    <row r="13">
      <c r="B13" s="15" t="inlineStr">
        <is>
          <t>Passivo Circulante:</t>
        </is>
      </c>
    </row>
    <row r="14">
      <c r="B14" t="inlineStr">
        <is>
          <t>Contas a Pagar</t>
        </is>
      </c>
      <c r="C14" s="16" t="n"/>
      <c r="D14" s="9" t="n"/>
      <c r="E14" s="9" t="n"/>
      <c r="F14" s="9" t="n"/>
      <c r="G14" s="9" t="n"/>
      <c r="H14" s="9" t="n"/>
      <c r="I14" s="9" t="n"/>
      <c r="J14" s="9" t="n"/>
      <c r="K14" s="9" t="n"/>
      <c r="L14" s="17">
        <f>C14+SUM(D14:K14)</f>
        <v/>
      </c>
      <c r="N14" s="18">
        <f>IF(COUNT(D14:K14)=0,"",IF(ABS(L14-Gabarito!L14)&lt;0.5,"✔","✗"))</f>
        <v/>
      </c>
    </row>
    <row r="15">
      <c r="B15" s="15" t="inlineStr">
        <is>
          <t>Patrimônio Líquido:</t>
        </is>
      </c>
    </row>
    <row r="16">
      <c r="B16" t="inlineStr">
        <is>
          <t>Capital Social</t>
        </is>
      </c>
      <c r="C16" s="16" t="n"/>
      <c r="D16" s="9" t="n"/>
      <c r="E16" s="9" t="n"/>
      <c r="F16" s="9" t="n"/>
      <c r="G16" s="9" t="n"/>
      <c r="H16" s="9" t="n"/>
      <c r="I16" s="9" t="n"/>
      <c r="J16" s="9" t="n"/>
      <c r="K16" s="9" t="n"/>
      <c r="L16" s="17">
        <f>C16+SUM(D16:K16)</f>
        <v/>
      </c>
      <c r="N16" s="18">
        <f>IF(COUNT(D16:K16)=0,"",IF(ABS(L16-Gabarito!L16)&lt;0.5,"✔","✗"))</f>
        <v/>
      </c>
    </row>
    <row r="17">
      <c r="B17" t="inlineStr">
        <is>
          <t>Lucros Acumulados</t>
        </is>
      </c>
      <c r="C17" s="16" t="n"/>
      <c r="D17" s="9" t="n"/>
      <c r="E17" s="9" t="n"/>
      <c r="F17" s="9" t="n"/>
      <c r="G17" s="9" t="n"/>
      <c r="H17" s="9" t="n"/>
      <c r="I17" s="9" t="n"/>
      <c r="J17" s="9" t="n"/>
      <c r="K17" s="9" t="n"/>
      <c r="L17" s="17">
        <f>C17+SUM(D17:K17)</f>
        <v/>
      </c>
      <c r="N17" s="18">
        <f>IF(COUNT(D17:K17)=0,"",IF(ABS(L17-Gabarito!L17)&lt;0.5,"✔","✗"))</f>
        <v/>
      </c>
    </row>
    <row r="18">
      <c r="B18" s="19" t="inlineStr">
        <is>
          <t>Total Passivo e Patrim. Líquido</t>
        </is>
      </c>
      <c r="C18" s="20">
        <f>SUM(C13:C17)</f>
        <v/>
      </c>
      <c r="D18" s="20">
        <f>SUM(D13:D17)</f>
        <v/>
      </c>
      <c r="E18" s="20">
        <f>SUM(E13:E17)</f>
        <v/>
      </c>
      <c r="F18" s="20">
        <f>SUM(F13:F17)</f>
        <v/>
      </c>
      <c r="G18" s="20">
        <f>SUM(G13:G17)</f>
        <v/>
      </c>
      <c r="H18" s="20">
        <f>SUM(H13:H17)</f>
        <v/>
      </c>
      <c r="I18" s="20">
        <f>SUM(I13:I17)</f>
        <v/>
      </c>
      <c r="J18" s="20">
        <f>SUM(J13:J17)</f>
        <v/>
      </c>
      <c r="K18" s="20">
        <f>SUM(K13:K17)</f>
        <v/>
      </c>
      <c r="L18" s="20">
        <f>SUM(L13:L17)</f>
        <v/>
      </c>
    </row>
    <row r="20">
      <c r="B20" s="21" t="inlineStr">
        <is>
          <t>Diferença, se houver (tem que dar zero)</t>
        </is>
      </c>
      <c r="C20" s="17">
        <f>C11-C18</f>
        <v/>
      </c>
      <c r="D20" s="17">
        <f>D11-D18</f>
        <v/>
      </c>
      <c r="E20" s="17">
        <f>E11-E18</f>
        <v/>
      </c>
      <c r="F20" s="17">
        <f>F11-F18</f>
        <v/>
      </c>
      <c r="G20" s="17">
        <f>G11-G18</f>
        <v/>
      </c>
      <c r="H20" s="17">
        <f>H11-H18</f>
        <v/>
      </c>
      <c r="I20" s="17">
        <f>I11-I18</f>
        <v/>
      </c>
      <c r="J20" s="17">
        <f>J11-J18</f>
        <v/>
      </c>
      <c r="K20" s="17">
        <f>K11-K18</f>
        <v/>
      </c>
      <c r="L20" s="17">
        <f>L11-L18</f>
        <v/>
      </c>
      <c r="N20" s="19">
        <f>IF(L20=0,"✔ fecha","✗ não fecha")</f>
        <v/>
      </c>
    </row>
    <row r="22">
      <c r="B22" s="13" t="inlineStr">
        <is>
          <t>Demonstração do Resultado</t>
        </is>
      </c>
      <c r="D22" s="3" t="n">
        <v>1</v>
      </c>
      <c r="E22" s="3" t="n">
        <v>2</v>
      </c>
      <c r="F22" s="3" t="n">
        <v>3</v>
      </c>
      <c r="G22" s="3" t="n">
        <v>4</v>
      </c>
      <c r="H22" s="3" t="n">
        <v>5</v>
      </c>
      <c r="I22" s="3" t="n">
        <v>6</v>
      </c>
      <c r="J22" s="3" t="n">
        <v>7</v>
      </c>
      <c r="K22" s="3" t="n">
        <v>8</v>
      </c>
      <c r="L22" s="13" t="inlineStr">
        <is>
          <t>Mês 1</t>
        </is>
      </c>
      <c r="N22" s="22" t="inlineStr">
        <is>
          <t>Check</t>
        </is>
      </c>
    </row>
    <row r="23">
      <c r="B23" t="inlineStr">
        <is>
          <t>Receita de Serviços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17">
        <f>SUM(D23:K23)</f>
        <v/>
      </c>
      <c r="N23" s="18">
        <f>IF(COUNT(D23:K23)=0,"",IF(ABS(L23-Gabarito!L23)&lt;0.5,"✔","✗"))</f>
        <v/>
      </c>
    </row>
    <row r="24">
      <c r="B24" t="inlineStr">
        <is>
          <t>(-) Custo dos Serviços Prestados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17">
        <f>SUM(D24:K24)</f>
        <v/>
      </c>
      <c r="N24" s="18">
        <f>IF(COUNT(D24:K24)=0,"",IF(ABS(L24-Gabarito!L24)&lt;0.5,"✔","✗"))</f>
        <v/>
      </c>
    </row>
    <row r="25">
      <c r="B25" s="19" t="inlineStr">
        <is>
          <t xml:space="preserve">     (=) Lucro Bruto</t>
        </is>
      </c>
      <c r="D25" s="20">
        <f>SUM(D23:D24)</f>
        <v/>
      </c>
      <c r="E25" s="20">
        <f>SUM(E23:E24)</f>
        <v/>
      </c>
      <c r="F25" s="20">
        <f>SUM(F23:F24)</f>
        <v/>
      </c>
      <c r="G25" s="20">
        <f>SUM(G23:G24)</f>
        <v/>
      </c>
      <c r="H25" s="20">
        <f>SUM(H23:H24)</f>
        <v/>
      </c>
      <c r="I25" s="20">
        <f>SUM(I23:I24)</f>
        <v/>
      </c>
      <c r="J25" s="20">
        <f>SUM(J23:J24)</f>
        <v/>
      </c>
      <c r="K25" s="20">
        <f>SUM(K23:K24)</f>
        <v/>
      </c>
      <c r="L25" s="20">
        <f>SUM(L23:L24)</f>
        <v/>
      </c>
    </row>
    <row r="26">
      <c r="B26" t="inlineStr">
        <is>
          <t>(-) Despesas Operacionais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17">
        <f>SUM(D26:K26)</f>
        <v/>
      </c>
      <c r="N26" s="18">
        <f>IF(COUNT(D26:K26)=0,"",IF(ABS(L26-Gabarito!L26)&lt;0.5,"✔","✗"))</f>
        <v/>
      </c>
    </row>
    <row r="27">
      <c r="B27" s="19" t="inlineStr">
        <is>
          <t xml:space="preserve">     (=) EBIT e Lucro Líquido</t>
        </is>
      </c>
      <c r="D27" s="20">
        <f>SUM(D25:D26)</f>
        <v/>
      </c>
      <c r="E27" s="20">
        <f>SUM(E25:E26)</f>
        <v/>
      </c>
      <c r="F27" s="20">
        <f>SUM(F25:F26)</f>
        <v/>
      </c>
      <c r="G27" s="20">
        <f>SUM(G25:G26)</f>
        <v/>
      </c>
      <c r="H27" s="20">
        <f>SUM(H25:H26)</f>
        <v/>
      </c>
      <c r="I27" s="20">
        <f>SUM(I25:I26)</f>
        <v/>
      </c>
      <c r="J27" s="20">
        <f>SUM(J25:J26)</f>
        <v/>
      </c>
      <c r="K27" s="20">
        <f>SUM(K25:K26)</f>
        <v/>
      </c>
      <c r="L27" s="20">
        <f>SUM(L25:L26)</f>
        <v/>
      </c>
    </row>
    <row r="29">
      <c r="B29" s="13" t="inlineStr">
        <is>
          <t>Demonstração dos Fluxos de Caixa</t>
        </is>
      </c>
      <c r="D29" s="3" t="n">
        <v>1</v>
      </c>
      <c r="E29" s="3" t="n">
        <v>2</v>
      </c>
      <c r="F29" s="3" t="n">
        <v>3</v>
      </c>
      <c r="G29" s="3" t="n">
        <v>4</v>
      </c>
      <c r="H29" s="3" t="n">
        <v>5</v>
      </c>
      <c r="I29" s="3" t="n">
        <v>6</v>
      </c>
      <c r="J29" s="3" t="n">
        <v>7</v>
      </c>
      <c r="K29" s="3" t="n">
        <v>8</v>
      </c>
      <c r="L29" s="13" t="inlineStr">
        <is>
          <t>Mês 1</t>
        </is>
      </c>
    </row>
    <row r="30">
      <c r="B30" s="19" t="inlineStr">
        <is>
          <t>OPERAÇÕES</t>
        </is>
      </c>
      <c r="D30" s="20">
        <f>SUM(D31:D33)</f>
        <v/>
      </c>
      <c r="E30" s="20">
        <f>SUM(E31:E33)</f>
        <v/>
      </c>
      <c r="F30" s="20">
        <f>SUM(F31:F33)</f>
        <v/>
      </c>
      <c r="G30" s="20">
        <f>SUM(G31:G33)</f>
        <v/>
      </c>
      <c r="H30" s="20">
        <f>SUM(H31:H33)</f>
        <v/>
      </c>
      <c r="I30" s="20">
        <f>SUM(I31:I33)</f>
        <v/>
      </c>
      <c r="J30" s="20">
        <f>SUM(J31:J33)</f>
        <v/>
      </c>
      <c r="K30" s="20">
        <f>SUM(K31:K33)</f>
        <v/>
      </c>
      <c r="L30" s="20">
        <f>SUM(L31:L33)</f>
        <v/>
      </c>
    </row>
    <row r="31">
      <c r="B31" t="inlineStr">
        <is>
          <t>Recebimentos de Clientes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17">
        <f>SUM(D31:K31)</f>
        <v/>
      </c>
      <c r="N31" s="18">
        <f>IF(COUNT(D31:K31)=0,"",IF(ABS(L31-Gabarito!L31)&lt;0.5,"✔","✗"))</f>
        <v/>
      </c>
    </row>
    <row r="32">
      <c r="B32" t="inlineStr">
        <is>
          <t>Pagamentos a Fornecedores</t>
        </is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17">
        <f>SUM(D32:K32)</f>
        <v/>
      </c>
      <c r="N32" s="18">
        <f>IF(COUNT(D32:K32)=0,"",IF(ABS(L32-Gabarito!L32)&lt;0.5,"✔","✗"))</f>
        <v/>
      </c>
    </row>
    <row r="33">
      <c r="B33" t="inlineStr">
        <is>
          <t>Pagamentos de Salários e Despesas</t>
        </is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17">
        <f>SUM(D33:K33)</f>
        <v/>
      </c>
      <c r="N33" s="18">
        <f>IF(COUNT(D33:K33)=0,"",IF(ABS(L33-Gabarito!L33)&lt;0.5,"✔","✗"))</f>
        <v/>
      </c>
    </row>
    <row r="34">
      <c r="B34" s="19" t="inlineStr">
        <is>
          <t>INVESTIMENTOS</t>
        </is>
      </c>
      <c r="D34" s="20">
        <f>SUM(D35:D35)</f>
        <v/>
      </c>
      <c r="E34" s="20">
        <f>SUM(E35:E35)</f>
        <v/>
      </c>
      <c r="F34" s="20">
        <f>SUM(F35:F35)</f>
        <v/>
      </c>
      <c r="G34" s="20">
        <f>SUM(G35:G35)</f>
        <v/>
      </c>
      <c r="H34" s="20">
        <f>SUM(H35:H35)</f>
        <v/>
      </c>
      <c r="I34" s="20">
        <f>SUM(I35:I35)</f>
        <v/>
      </c>
      <c r="J34" s="20">
        <f>SUM(J35:J35)</f>
        <v/>
      </c>
      <c r="K34" s="20">
        <f>SUM(K35:K35)</f>
        <v/>
      </c>
      <c r="L34" s="20">
        <f>SUM(L35:L35)</f>
        <v/>
      </c>
    </row>
    <row r="35">
      <c r="B35" t="inlineStr">
        <is>
          <t>Aquisição de Imobilizado</t>
        </is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17">
        <f>SUM(D35:K35)</f>
        <v/>
      </c>
      <c r="N35" s="18">
        <f>IF(COUNT(D35:K35)=0,"",IF(ABS(L35-Gabarito!L35)&lt;0.5,"✔","✗"))</f>
        <v/>
      </c>
    </row>
    <row r="36">
      <c r="B36" s="19" t="inlineStr">
        <is>
          <t>FINANCIAMENTOS</t>
        </is>
      </c>
      <c r="D36" s="20">
        <f>SUM(D37:D37)</f>
        <v/>
      </c>
      <c r="E36" s="20">
        <f>SUM(E37:E37)</f>
        <v/>
      </c>
      <c r="F36" s="20">
        <f>SUM(F37:F37)</f>
        <v/>
      </c>
      <c r="G36" s="20">
        <f>SUM(G37:G37)</f>
        <v/>
      </c>
      <c r="H36" s="20">
        <f>SUM(H37:H37)</f>
        <v/>
      </c>
      <c r="I36" s="20">
        <f>SUM(I37:I37)</f>
        <v/>
      </c>
      <c r="J36" s="20">
        <f>SUM(J37:J37)</f>
        <v/>
      </c>
      <c r="K36" s="20">
        <f>SUM(K37:K37)</f>
        <v/>
      </c>
      <c r="L36" s="20">
        <f>SUM(L37:L37)</f>
        <v/>
      </c>
    </row>
    <row r="37">
      <c r="B37" t="inlineStr">
        <is>
          <t>Ingresso de Capital</t>
        </is>
      </c>
      <c r="D37" s="9" t="n"/>
      <c r="E37" s="9" t="n"/>
      <c r="F37" s="9" t="n"/>
      <c r="G37" s="9" t="n"/>
      <c r="H37" s="9" t="n"/>
      <c r="I37" s="9" t="n"/>
      <c r="J37" s="9" t="n"/>
      <c r="K37" s="9" t="n"/>
      <c r="L37" s="17">
        <f>SUM(D37:K37)</f>
        <v/>
      </c>
      <c r="N37" s="18">
        <f>IF(COUNT(D37:K37)=0,"",IF(ABS(L37-Gabarito!L37)&lt;0.5,"✔","✗"))</f>
        <v/>
      </c>
    </row>
    <row r="38">
      <c r="B38" s="19" t="inlineStr">
        <is>
          <t>VARIAÇÃO NO CAIXA</t>
        </is>
      </c>
      <c r="D38" s="20">
        <f>D30+D34+D36</f>
        <v/>
      </c>
      <c r="E38" s="20">
        <f>E30+E34+E36</f>
        <v/>
      </c>
      <c r="F38" s="20">
        <f>F30+F34+F36</f>
        <v/>
      </c>
      <c r="G38" s="20">
        <f>G30+G34+G36</f>
        <v/>
      </c>
      <c r="H38" s="20">
        <f>H30+H34+H36</f>
        <v/>
      </c>
      <c r="I38" s="20">
        <f>I30+I34+I36</f>
        <v/>
      </c>
      <c r="J38" s="20">
        <f>J30+J34+J36</f>
        <v/>
      </c>
      <c r="K38" s="20">
        <f>K30+K34+K36</f>
        <v/>
      </c>
      <c r="L38" s="20">
        <f>L30+L34+L36</f>
        <v/>
      </c>
    </row>
    <row r="39">
      <c r="B39" t="inlineStr">
        <is>
          <t xml:space="preserve">    Saldo inicial de caixa</t>
        </is>
      </c>
      <c r="L39" s="16" t="n">
        <v>0</v>
      </c>
    </row>
    <row r="40">
      <c r="B40" s="19" t="inlineStr">
        <is>
          <t xml:space="preserve">    Saldo final de caixa</t>
        </is>
      </c>
      <c r="L40" s="17">
        <f>L39+L38</f>
        <v/>
      </c>
    </row>
    <row r="42">
      <c r="B42" s="21" t="inlineStr">
        <is>
          <t>Caixa final da DFC menos Caixa do BP (tem que dar zero)</t>
        </is>
      </c>
      <c r="L42" s="17">
        <f>L40-L6</f>
        <v/>
      </c>
      <c r="N42" s="19">
        <f>IF(L42=0,"✔ amarra","✗ não amarra")</f>
        <v/>
      </c>
    </row>
    <row r="44">
      <c r="B44" s="13" t="inlineStr">
        <is>
          <t>Indicadores (automáticos)</t>
        </is>
      </c>
    </row>
    <row r="45">
      <c r="B45" t="inlineStr">
        <is>
          <t>Margem bruta</t>
        </is>
      </c>
      <c r="L45" s="23">
        <f>IF(L23=0,"",L25/L23)</f>
        <v/>
      </c>
    </row>
    <row r="46">
      <c r="B46" t="inlineStr">
        <is>
          <t>Margem líquida</t>
        </is>
      </c>
      <c r="L46" s="23">
        <f>IF(L23=0,"",L27/L23)</f>
        <v/>
      </c>
    </row>
    <row r="47">
      <c r="B47" t="inlineStr">
        <is>
          <t>% financiado por capital próprio (PL / Ativo)</t>
        </is>
      </c>
      <c r="L47" s="23">
        <f>IF(L11=0,"",SUM(L16:L17)/L11)</f>
        <v/>
      </c>
    </row>
    <row r="48">
      <c r="B48" t="inlineStr">
        <is>
          <t>ROE (LL / PL final)</t>
        </is>
      </c>
      <c r="L48" s="23">
        <f>IF(SUM(L16:L17)=0,"",L27/SUM(L16:L17))</f>
        <v/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N4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3" customWidth="1" min="13" max="13"/>
    <col width="13" customWidth="1" min="14" max="14"/>
  </cols>
  <sheetData>
    <row r="1">
      <c r="B1" s="1" t="inlineStr">
        <is>
          <t>Clínica Vetor (serviços veterinários)</t>
        </is>
      </c>
      <c r="D1" s="11" t="inlineStr">
        <is>
          <t>Transações, por Número e Descrição</t>
        </is>
      </c>
    </row>
    <row r="2" ht="42" customHeight="1">
      <c r="B2" s="2" t="inlineStr">
        <is>
          <t>Mês 1  |  valores em R$</t>
        </is>
      </c>
      <c r="D2" s="12" t="inlineStr">
        <is>
          <t>Integralização de capital de R$ 120.000 em dinheiro</t>
        </is>
      </c>
      <c r="E2" s="12" t="inlineStr">
        <is>
          <t>Compra à vista de equipamentos veterinários por R$ 70.000</t>
        </is>
      </c>
      <c r="F2" s="12" t="inlineStr">
        <is>
          <t>Compra de medicamentos e insumos por R$ 18.000, integralment</t>
        </is>
      </c>
      <c r="G2" s="12" t="inlineStr">
        <is>
          <t>Serviços prestados no mês: R$ 52.000, sendo R$ 30.000 à vist</t>
        </is>
      </c>
      <c r="H2" s="12" t="inlineStr">
        <is>
          <t>Consumo de R$ 11.000 de medicamentos e insumos nos atendimen</t>
        </is>
      </c>
      <c r="I2" s="12" t="inlineStr">
        <is>
          <t xml:space="preserve">Pagamento à vista de salários: R$ 16.000 dos veterinários e </t>
        </is>
      </c>
      <c r="J2" s="12" t="inlineStr">
        <is>
          <t>Pagamento de R$ 10.000 a fornecedores</t>
        </is>
      </c>
      <c r="K2" s="12" t="inlineStr">
        <is>
          <t>Recebimento de R$ 9.000 dos convênios</t>
        </is>
      </c>
    </row>
    <row r="3">
      <c r="B3" s="13" t="inlineStr">
        <is>
          <t>Balanço Patrimonial</t>
        </is>
      </c>
      <c r="C3" s="13" t="inlineStr">
        <is>
          <t>Balanço Inicial</t>
        </is>
      </c>
      <c r="D3" s="3" t="n">
        <v>1</v>
      </c>
      <c r="E3" s="3" t="n">
        <v>2</v>
      </c>
      <c r="F3" s="3" t="n">
        <v>3</v>
      </c>
      <c r="G3" s="3" t="n">
        <v>4</v>
      </c>
      <c r="H3" s="3" t="n">
        <v>5</v>
      </c>
      <c r="I3" s="3" t="n">
        <v>6</v>
      </c>
      <c r="J3" s="3" t="n">
        <v>7</v>
      </c>
      <c r="K3" s="3" t="n">
        <v>8</v>
      </c>
      <c r="L3" s="13" t="inlineStr">
        <is>
          <t>Balanço Final</t>
        </is>
      </c>
    </row>
    <row r="4">
      <c r="B4" s="14" t="inlineStr">
        <is>
          <t>ATIVO</t>
        </is>
      </c>
    </row>
    <row r="5">
      <c r="B5" s="15" t="inlineStr">
        <is>
          <t>Ativo Circulante</t>
        </is>
      </c>
    </row>
    <row r="6">
      <c r="B6" t="inlineStr">
        <is>
          <t>Caixa</t>
        </is>
      </c>
      <c r="C6" s="16" t="n"/>
      <c r="D6" s="9" t="n">
        <v>120000</v>
      </c>
      <c r="E6" s="9" t="n">
        <v>-70000</v>
      </c>
      <c r="F6" s="9" t="n"/>
      <c r="G6" s="9" t="n">
        <v>30000</v>
      </c>
      <c r="H6" s="9" t="n"/>
      <c r="I6" s="9" t="n">
        <v>-24000</v>
      </c>
      <c r="J6" s="9" t="n">
        <v>-10000</v>
      </c>
      <c r="K6" s="9" t="n">
        <v>9000</v>
      </c>
      <c r="L6" s="17">
        <f>C6+SUM(D6:K6)</f>
        <v/>
      </c>
    </row>
    <row r="7">
      <c r="B7" t="inlineStr">
        <is>
          <t>Contas a Receber</t>
        </is>
      </c>
      <c r="C7" s="16" t="n"/>
      <c r="D7" s="9" t="n"/>
      <c r="E7" s="9" t="n"/>
      <c r="F7" s="9" t="n"/>
      <c r="G7" s="9" t="n">
        <v>22000</v>
      </c>
      <c r="H7" s="9" t="n"/>
      <c r="I7" s="9" t="n"/>
      <c r="J7" s="9" t="n"/>
      <c r="K7" s="9" t="n">
        <v>-9000</v>
      </c>
      <c r="L7" s="17">
        <f>C7+SUM(D7:K7)</f>
        <v/>
      </c>
    </row>
    <row r="8">
      <c r="B8" t="inlineStr">
        <is>
          <t>Estoque de Insumos</t>
        </is>
      </c>
      <c r="C8" s="16" t="n"/>
      <c r="D8" s="9" t="n"/>
      <c r="E8" s="9" t="n"/>
      <c r="F8" s="9" t="n">
        <v>18000</v>
      </c>
      <c r="G8" s="9" t="n"/>
      <c r="H8" s="9" t="n">
        <v>-11000</v>
      </c>
      <c r="I8" s="9" t="n"/>
      <c r="J8" s="9" t="n"/>
      <c r="K8" s="9" t="n"/>
      <c r="L8" s="17">
        <f>C8+SUM(D8:K8)</f>
        <v/>
      </c>
    </row>
    <row r="9">
      <c r="B9" s="15" t="inlineStr">
        <is>
          <t>Ativo Não Circulante</t>
        </is>
      </c>
    </row>
    <row r="10">
      <c r="B10" t="inlineStr">
        <is>
          <t>Imobilizado</t>
        </is>
      </c>
      <c r="C10" s="16" t="n"/>
      <c r="D10" s="9" t="n"/>
      <c r="E10" s="9" t="n">
        <v>70000</v>
      </c>
      <c r="F10" s="9" t="n"/>
      <c r="G10" s="9" t="n"/>
      <c r="H10" s="9" t="n"/>
      <c r="I10" s="9" t="n"/>
      <c r="J10" s="9" t="n"/>
      <c r="K10" s="9" t="n"/>
      <c r="L10" s="17">
        <f>C10+SUM(D10:K10)</f>
        <v/>
      </c>
    </row>
    <row r="11">
      <c r="B11" s="19" t="inlineStr">
        <is>
          <t xml:space="preserve">  Total do Ativo</t>
        </is>
      </c>
      <c r="C11" s="20">
        <f>SUM(C6:C10)</f>
        <v/>
      </c>
      <c r="D11" s="20">
        <f>SUM(D6:D10)</f>
        <v/>
      </c>
      <c r="E11" s="20">
        <f>SUM(E6:E10)</f>
        <v/>
      </c>
      <c r="F11" s="20">
        <f>SUM(F6:F10)</f>
        <v/>
      </c>
      <c r="G11" s="20">
        <f>SUM(G6:G10)</f>
        <v/>
      </c>
      <c r="H11" s="20">
        <f>SUM(H6:H10)</f>
        <v/>
      </c>
      <c r="I11" s="20">
        <f>SUM(I6:I10)</f>
        <v/>
      </c>
      <c r="J11" s="20">
        <f>SUM(J6:J10)</f>
        <v/>
      </c>
      <c r="K11" s="20">
        <f>SUM(K6:K10)</f>
        <v/>
      </c>
      <c r="L11" s="20">
        <f>SUM(L6:L10)</f>
        <v/>
      </c>
    </row>
    <row r="12">
      <c r="B12" s="14" t="inlineStr">
        <is>
          <t>PASSIVO E PATRIM. LÍQUIDO</t>
        </is>
      </c>
    </row>
    <row r="13">
      <c r="B13" s="15" t="inlineStr">
        <is>
          <t>Passivo Circulante:</t>
        </is>
      </c>
    </row>
    <row r="14">
      <c r="B14" t="inlineStr">
        <is>
          <t>Contas a Pagar</t>
        </is>
      </c>
      <c r="C14" s="16" t="n"/>
      <c r="D14" s="9" t="n"/>
      <c r="E14" s="9" t="n"/>
      <c r="F14" s="9" t="n">
        <v>18000</v>
      </c>
      <c r="G14" s="9" t="n"/>
      <c r="H14" s="9" t="n"/>
      <c r="I14" s="9" t="n"/>
      <c r="J14" s="9" t="n">
        <v>-10000</v>
      </c>
      <c r="K14" s="9" t="n"/>
      <c r="L14" s="17">
        <f>C14+SUM(D14:K14)</f>
        <v/>
      </c>
    </row>
    <row r="15">
      <c r="B15" s="15" t="inlineStr">
        <is>
          <t>Patrimônio Líquido:</t>
        </is>
      </c>
    </row>
    <row r="16">
      <c r="B16" t="inlineStr">
        <is>
          <t>Capital Social</t>
        </is>
      </c>
      <c r="C16" s="16" t="n"/>
      <c r="D16" s="9" t="n">
        <v>120000</v>
      </c>
      <c r="E16" s="9" t="n"/>
      <c r="F16" s="9" t="n"/>
      <c r="G16" s="9" t="n"/>
      <c r="H16" s="9" t="n"/>
      <c r="I16" s="9" t="n"/>
      <c r="J16" s="9" t="n"/>
      <c r="K16" s="9" t="n"/>
      <c r="L16" s="17">
        <f>C16+SUM(D16:K16)</f>
        <v/>
      </c>
    </row>
    <row r="17">
      <c r="B17" t="inlineStr">
        <is>
          <t>Lucros Acumulados</t>
        </is>
      </c>
      <c r="C17" s="16" t="n"/>
      <c r="D17" s="9" t="n"/>
      <c r="E17" s="9" t="n"/>
      <c r="F17" s="9" t="n"/>
      <c r="G17" s="9" t="n">
        <v>52000</v>
      </c>
      <c r="H17" s="9" t="n">
        <v>-11000</v>
      </c>
      <c r="I17" s="9" t="n">
        <v>-24000</v>
      </c>
      <c r="J17" s="9" t="n"/>
      <c r="K17" s="9" t="n"/>
      <c r="L17" s="17">
        <f>C17+SUM(D17:K17)</f>
        <v/>
      </c>
    </row>
    <row r="18">
      <c r="B18" s="19" t="inlineStr">
        <is>
          <t>Total Passivo e Patrim. Líquido</t>
        </is>
      </c>
      <c r="C18" s="20">
        <f>SUM(C13:C17)</f>
        <v/>
      </c>
      <c r="D18" s="20">
        <f>SUM(D13:D17)</f>
        <v/>
      </c>
      <c r="E18" s="20">
        <f>SUM(E13:E17)</f>
        <v/>
      </c>
      <c r="F18" s="20">
        <f>SUM(F13:F17)</f>
        <v/>
      </c>
      <c r="G18" s="20">
        <f>SUM(G13:G17)</f>
        <v/>
      </c>
      <c r="H18" s="20">
        <f>SUM(H13:H17)</f>
        <v/>
      </c>
      <c r="I18" s="20">
        <f>SUM(I13:I17)</f>
        <v/>
      </c>
      <c r="J18" s="20">
        <f>SUM(J13:J17)</f>
        <v/>
      </c>
      <c r="K18" s="20">
        <f>SUM(K13:K17)</f>
        <v/>
      </c>
      <c r="L18" s="20">
        <f>SUM(L13:L17)</f>
        <v/>
      </c>
    </row>
    <row r="20">
      <c r="B20" s="21" t="inlineStr">
        <is>
          <t>Diferença, se houver (tem que dar zero)</t>
        </is>
      </c>
      <c r="C20" s="17">
        <f>C11-C18</f>
        <v/>
      </c>
      <c r="D20" s="17">
        <f>D11-D18</f>
        <v/>
      </c>
      <c r="E20" s="17">
        <f>E11-E18</f>
        <v/>
      </c>
      <c r="F20" s="17">
        <f>F11-F18</f>
        <v/>
      </c>
      <c r="G20" s="17">
        <f>G11-G18</f>
        <v/>
      </c>
      <c r="H20" s="17">
        <f>H11-H18</f>
        <v/>
      </c>
      <c r="I20" s="17">
        <f>I11-I18</f>
        <v/>
      </c>
      <c r="J20" s="17">
        <f>J11-J18</f>
        <v/>
      </c>
      <c r="K20" s="17">
        <f>K11-K18</f>
        <v/>
      </c>
      <c r="L20" s="17">
        <f>L11-L18</f>
        <v/>
      </c>
    </row>
    <row r="22">
      <c r="B22" s="13" t="inlineStr">
        <is>
          <t>Demonstração do Resultado</t>
        </is>
      </c>
      <c r="D22" s="3" t="n">
        <v>1</v>
      </c>
      <c r="E22" s="3" t="n">
        <v>2</v>
      </c>
      <c r="F22" s="3" t="n">
        <v>3</v>
      </c>
      <c r="G22" s="3" t="n">
        <v>4</v>
      </c>
      <c r="H22" s="3" t="n">
        <v>5</v>
      </c>
      <c r="I22" s="3" t="n">
        <v>6</v>
      </c>
      <c r="J22" s="3" t="n">
        <v>7</v>
      </c>
      <c r="K22" s="3" t="n">
        <v>8</v>
      </c>
      <c r="L22" s="13" t="inlineStr">
        <is>
          <t>Mês 1</t>
        </is>
      </c>
      <c r="N22" s="22" t="inlineStr">
        <is>
          <t>Check</t>
        </is>
      </c>
    </row>
    <row r="23">
      <c r="B23" t="inlineStr">
        <is>
          <t>Receita de Serviços</t>
        </is>
      </c>
      <c r="D23" s="9" t="n"/>
      <c r="E23" s="9" t="n"/>
      <c r="F23" s="9" t="n"/>
      <c r="G23" s="9" t="n">
        <v>52000</v>
      </c>
      <c r="H23" s="9" t="n"/>
      <c r="I23" s="9" t="n"/>
      <c r="J23" s="9" t="n"/>
      <c r="K23" s="9" t="n"/>
      <c r="L23" s="17">
        <f>SUM(D23:K23)</f>
        <v/>
      </c>
    </row>
    <row r="24">
      <c r="B24" t="inlineStr">
        <is>
          <t>(-) Custo dos Serviços Prestados</t>
        </is>
      </c>
      <c r="D24" s="9" t="n"/>
      <c r="E24" s="9" t="n"/>
      <c r="F24" s="9" t="n"/>
      <c r="G24" s="9" t="n"/>
      <c r="H24" s="9" t="n">
        <v>-11000</v>
      </c>
      <c r="I24" s="9" t="n">
        <v>-16000</v>
      </c>
      <c r="J24" s="9" t="n"/>
      <c r="K24" s="9" t="n"/>
      <c r="L24" s="17">
        <f>SUM(D24:K24)</f>
        <v/>
      </c>
    </row>
    <row r="25">
      <c r="B25" s="19" t="inlineStr">
        <is>
          <t xml:space="preserve">     (=) Lucro Bruto</t>
        </is>
      </c>
      <c r="D25" s="20">
        <f>SUM(D23:D24)</f>
        <v/>
      </c>
      <c r="E25" s="20">
        <f>SUM(E23:E24)</f>
        <v/>
      </c>
      <c r="F25" s="20">
        <f>SUM(F23:F24)</f>
        <v/>
      </c>
      <c r="G25" s="20">
        <f>SUM(G23:G24)</f>
        <v/>
      </c>
      <c r="H25" s="20">
        <f>SUM(H23:H24)</f>
        <v/>
      </c>
      <c r="I25" s="20">
        <f>SUM(I23:I24)</f>
        <v/>
      </c>
      <c r="J25" s="20">
        <f>SUM(J23:J24)</f>
        <v/>
      </c>
      <c r="K25" s="20">
        <f>SUM(K23:K24)</f>
        <v/>
      </c>
      <c r="L25" s="20">
        <f>SUM(L23:L24)</f>
        <v/>
      </c>
    </row>
    <row r="26">
      <c r="B26" t="inlineStr">
        <is>
          <t>(-) Despesas Operacionais</t>
        </is>
      </c>
      <c r="D26" s="9" t="n"/>
      <c r="E26" s="9" t="n"/>
      <c r="F26" s="9" t="n"/>
      <c r="G26" s="9" t="n"/>
      <c r="H26" s="9" t="n"/>
      <c r="I26" s="9" t="n">
        <v>-8000</v>
      </c>
      <c r="J26" s="9" t="n"/>
      <c r="K26" s="9" t="n"/>
      <c r="L26" s="17">
        <f>SUM(D26:K26)</f>
        <v/>
      </c>
    </row>
    <row r="27">
      <c r="B27" s="19" t="inlineStr">
        <is>
          <t xml:space="preserve">     (=) EBIT e Lucro Líquido</t>
        </is>
      </c>
      <c r="D27" s="20">
        <f>SUM(D25:D26)</f>
        <v/>
      </c>
      <c r="E27" s="20">
        <f>SUM(E25:E26)</f>
        <v/>
      </c>
      <c r="F27" s="20">
        <f>SUM(F25:F26)</f>
        <v/>
      </c>
      <c r="G27" s="20">
        <f>SUM(G25:G26)</f>
        <v/>
      </c>
      <c r="H27" s="20">
        <f>SUM(H25:H26)</f>
        <v/>
      </c>
      <c r="I27" s="20">
        <f>SUM(I25:I26)</f>
        <v/>
      </c>
      <c r="J27" s="20">
        <f>SUM(J25:J26)</f>
        <v/>
      </c>
      <c r="K27" s="20">
        <f>SUM(K25:K26)</f>
        <v/>
      </c>
      <c r="L27" s="20">
        <f>SUM(L25:L26)</f>
        <v/>
      </c>
    </row>
    <row r="29">
      <c r="B29" s="13" t="inlineStr">
        <is>
          <t>Demonstração dos Fluxos de Caixa</t>
        </is>
      </c>
      <c r="D29" s="3" t="n">
        <v>1</v>
      </c>
      <c r="E29" s="3" t="n">
        <v>2</v>
      </c>
      <c r="F29" s="3" t="n">
        <v>3</v>
      </c>
      <c r="G29" s="3" t="n">
        <v>4</v>
      </c>
      <c r="H29" s="3" t="n">
        <v>5</v>
      </c>
      <c r="I29" s="3" t="n">
        <v>6</v>
      </c>
      <c r="J29" s="3" t="n">
        <v>7</v>
      </c>
      <c r="K29" s="3" t="n">
        <v>8</v>
      </c>
      <c r="L29" s="13" t="inlineStr">
        <is>
          <t>Mês 1</t>
        </is>
      </c>
    </row>
    <row r="30">
      <c r="B30" s="19" t="inlineStr">
        <is>
          <t>OPERAÇÕES</t>
        </is>
      </c>
      <c r="D30" s="20">
        <f>SUM(D31:D33)</f>
        <v/>
      </c>
      <c r="E30" s="20">
        <f>SUM(E31:E33)</f>
        <v/>
      </c>
      <c r="F30" s="20">
        <f>SUM(F31:F33)</f>
        <v/>
      </c>
      <c r="G30" s="20">
        <f>SUM(G31:G33)</f>
        <v/>
      </c>
      <c r="H30" s="20">
        <f>SUM(H31:H33)</f>
        <v/>
      </c>
      <c r="I30" s="20">
        <f>SUM(I31:I33)</f>
        <v/>
      </c>
      <c r="J30" s="20">
        <f>SUM(J31:J33)</f>
        <v/>
      </c>
      <c r="K30" s="20">
        <f>SUM(K31:K33)</f>
        <v/>
      </c>
      <c r="L30" s="20">
        <f>SUM(L31:L33)</f>
        <v/>
      </c>
    </row>
    <row r="31">
      <c r="B31" t="inlineStr">
        <is>
          <t>Recebimentos de Clientes</t>
        </is>
      </c>
      <c r="D31" s="9" t="n"/>
      <c r="E31" s="9" t="n"/>
      <c r="F31" s="9" t="n"/>
      <c r="G31" s="9" t="n">
        <v>30000</v>
      </c>
      <c r="H31" s="9" t="n"/>
      <c r="I31" s="9" t="n"/>
      <c r="J31" s="9" t="n"/>
      <c r="K31" s="9" t="n">
        <v>9000</v>
      </c>
      <c r="L31" s="17">
        <f>SUM(D31:K31)</f>
        <v/>
      </c>
    </row>
    <row r="32">
      <c r="B32" t="inlineStr">
        <is>
          <t>Pagamentos a Fornecedores</t>
        </is>
      </c>
      <c r="D32" s="9" t="n"/>
      <c r="E32" s="9" t="n"/>
      <c r="F32" s="9" t="n"/>
      <c r="G32" s="9" t="n"/>
      <c r="H32" s="9" t="n"/>
      <c r="I32" s="9" t="n"/>
      <c r="J32" s="9" t="n">
        <v>-10000</v>
      </c>
      <c r="K32" s="9" t="n"/>
      <c r="L32" s="17">
        <f>SUM(D32:K32)</f>
        <v/>
      </c>
    </row>
    <row r="33">
      <c r="B33" t="inlineStr">
        <is>
          <t>Pagamentos de Salários e Despesas</t>
        </is>
      </c>
      <c r="D33" s="9" t="n"/>
      <c r="E33" s="9" t="n"/>
      <c r="F33" s="9" t="n"/>
      <c r="G33" s="9" t="n"/>
      <c r="H33" s="9" t="n"/>
      <c r="I33" s="9" t="n">
        <v>-24000</v>
      </c>
      <c r="J33" s="9" t="n"/>
      <c r="K33" s="9" t="n"/>
      <c r="L33" s="17">
        <f>SUM(D33:K33)</f>
        <v/>
      </c>
    </row>
    <row r="34">
      <c r="B34" s="19" t="inlineStr">
        <is>
          <t>INVESTIMENTOS</t>
        </is>
      </c>
      <c r="D34" s="20">
        <f>SUM(D35:D35)</f>
        <v/>
      </c>
      <c r="E34" s="20">
        <f>SUM(E35:E35)</f>
        <v/>
      </c>
      <c r="F34" s="20">
        <f>SUM(F35:F35)</f>
        <v/>
      </c>
      <c r="G34" s="20">
        <f>SUM(G35:G35)</f>
        <v/>
      </c>
      <c r="H34" s="20">
        <f>SUM(H35:H35)</f>
        <v/>
      </c>
      <c r="I34" s="20">
        <f>SUM(I35:I35)</f>
        <v/>
      </c>
      <c r="J34" s="20">
        <f>SUM(J35:J35)</f>
        <v/>
      </c>
      <c r="K34" s="20">
        <f>SUM(K35:K35)</f>
        <v/>
      </c>
      <c r="L34" s="20">
        <f>SUM(L35:L35)</f>
        <v/>
      </c>
    </row>
    <row r="35">
      <c r="B35" t="inlineStr">
        <is>
          <t>Aquisição de Imobilizado</t>
        </is>
      </c>
      <c r="D35" s="9" t="n"/>
      <c r="E35" s="9" t="n">
        <v>-70000</v>
      </c>
      <c r="F35" s="9" t="n"/>
      <c r="G35" s="9" t="n"/>
      <c r="H35" s="9" t="n"/>
      <c r="I35" s="9" t="n"/>
      <c r="J35" s="9" t="n"/>
      <c r="K35" s="9" t="n"/>
      <c r="L35" s="17">
        <f>SUM(D35:K35)</f>
        <v/>
      </c>
    </row>
    <row r="36">
      <c r="B36" s="19" t="inlineStr">
        <is>
          <t>FINANCIAMENTOS</t>
        </is>
      </c>
      <c r="D36" s="20">
        <f>SUM(D37:D37)</f>
        <v/>
      </c>
      <c r="E36" s="20">
        <f>SUM(E37:E37)</f>
        <v/>
      </c>
      <c r="F36" s="20">
        <f>SUM(F37:F37)</f>
        <v/>
      </c>
      <c r="G36" s="20">
        <f>SUM(G37:G37)</f>
        <v/>
      </c>
      <c r="H36" s="20">
        <f>SUM(H37:H37)</f>
        <v/>
      </c>
      <c r="I36" s="20">
        <f>SUM(I37:I37)</f>
        <v/>
      </c>
      <c r="J36" s="20">
        <f>SUM(J37:J37)</f>
        <v/>
      </c>
      <c r="K36" s="20">
        <f>SUM(K37:K37)</f>
        <v/>
      </c>
      <c r="L36" s="20">
        <f>SUM(L37:L37)</f>
        <v/>
      </c>
    </row>
    <row r="37">
      <c r="B37" t="inlineStr">
        <is>
          <t>Ingresso de Capital</t>
        </is>
      </c>
      <c r="D37" s="9" t="n">
        <v>120000</v>
      </c>
      <c r="E37" s="9" t="n"/>
      <c r="F37" s="9" t="n"/>
      <c r="G37" s="9" t="n"/>
      <c r="H37" s="9" t="n"/>
      <c r="I37" s="9" t="n"/>
      <c r="J37" s="9" t="n"/>
      <c r="K37" s="9" t="n"/>
      <c r="L37" s="17">
        <f>SUM(D37:K37)</f>
        <v/>
      </c>
    </row>
    <row r="38">
      <c r="B38" s="19" t="inlineStr">
        <is>
          <t>VARIAÇÃO NO CAIXA</t>
        </is>
      </c>
      <c r="D38" s="20">
        <f>D30+D34+D36</f>
        <v/>
      </c>
      <c r="E38" s="20">
        <f>E30+E34+E36</f>
        <v/>
      </c>
      <c r="F38" s="20">
        <f>F30+F34+F36</f>
        <v/>
      </c>
      <c r="G38" s="20">
        <f>G30+G34+G36</f>
        <v/>
      </c>
      <c r="H38" s="20">
        <f>H30+H34+H36</f>
        <v/>
      </c>
      <c r="I38" s="20">
        <f>I30+I34+I36</f>
        <v/>
      </c>
      <c r="J38" s="20">
        <f>J30+J34+J36</f>
        <v/>
      </c>
      <c r="K38" s="20">
        <f>K30+K34+K36</f>
        <v/>
      </c>
      <c r="L38" s="20">
        <f>L30+L34+L36</f>
        <v/>
      </c>
    </row>
    <row r="39">
      <c r="B39" t="inlineStr">
        <is>
          <t xml:space="preserve">    Saldo inicial de caixa</t>
        </is>
      </c>
      <c r="L39" s="16" t="n">
        <v>0</v>
      </c>
    </row>
    <row r="40">
      <c r="B40" s="19" t="inlineStr">
        <is>
          <t xml:space="preserve">    Saldo final de caixa</t>
        </is>
      </c>
      <c r="L40" s="17">
        <f>L39+L38</f>
        <v/>
      </c>
    </row>
    <row r="42">
      <c r="B42" s="21" t="inlineStr">
        <is>
          <t>Caixa final da DFC menos Caixa do BP (tem que dar zero)</t>
        </is>
      </c>
      <c r="L42" s="17">
        <f>L40-L6</f>
        <v/>
      </c>
    </row>
    <row r="44">
      <c r="B44" s="13" t="inlineStr">
        <is>
          <t>Indicadores (automáticos)</t>
        </is>
      </c>
    </row>
    <row r="45">
      <c r="B45" t="inlineStr">
        <is>
          <t>Margem bruta</t>
        </is>
      </c>
      <c r="L45" s="23">
        <f>IF(L23=0,"",L25/L23)</f>
        <v/>
      </c>
    </row>
    <row r="46">
      <c r="B46" t="inlineStr">
        <is>
          <t>Margem líquida</t>
        </is>
      </c>
      <c r="L46" s="23">
        <f>IF(L23=0,"",L27/L23)</f>
        <v/>
      </c>
    </row>
    <row r="47">
      <c r="B47" t="inlineStr">
        <is>
          <t>% financiado por capital próprio (PL / Ativo)</t>
        </is>
      </c>
      <c r="L47" s="23">
        <f>IF(L11=0,"",SUM(L16:L17)/L11)</f>
        <v/>
      </c>
    </row>
    <row r="48">
      <c r="B48" t="inlineStr">
        <is>
          <t>ROE (LL / PL final)</t>
        </is>
      </c>
      <c r="L48" s="23">
        <f>IF(SUM(L16:L17)=0,"",L27/SUM(L16:L17))</f>
        <v/>
      </c>
    </row>
  </sheetData>
  <mergeCells count="1">
    <mergeCell ref="B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4" customWidth="1" min="3" max="3"/>
    <col width="13" customWidth="1" min="4" max="4"/>
    <col width="3" customWidth="1" min="5" max="5"/>
    <col width="24" customWidth="1" min="6" max="6"/>
    <col width="13" customWidth="1" min="7" max="7"/>
    <col width="3" customWidth="1" min="8" max="8"/>
    <col width="20" customWidth="1" min="9" max="9"/>
    <col width="13" customWidth="1" min="10" max="10"/>
    <col width="8" customWidth="1" min="11" max="11"/>
  </cols>
  <sheetData>
    <row r="1">
      <c r="A1" s="1" t="inlineStr">
        <is>
          <t>Clínica Vetor (serviços veterinários)  |  Efeito das transações na Equação do Balanço</t>
        </is>
      </c>
    </row>
    <row r="2">
      <c r="A2" s="2" t="inlineStr">
        <is>
          <t>Uma linha por movimento: escreve a conta e o valor, com sinal. Transação que mexe em três contas do mesmo lado usa as três linhas. A coluna Check acusa se aquela transação fechou.</t>
        </is>
      </c>
    </row>
    <row r="4">
      <c r="A4" s="3" t="inlineStr">
        <is>
          <t>Nº</t>
        </is>
      </c>
      <c r="B4" s="3" t="inlineStr">
        <is>
          <t>Descrição</t>
        </is>
      </c>
      <c r="C4" s="3" t="inlineStr">
        <is>
          <t>ATIVO</t>
        </is>
      </c>
      <c r="D4" s="4" t="n"/>
      <c r="E4" s="3" t="inlineStr">
        <is>
          <t>=</t>
        </is>
      </c>
      <c r="F4" s="3" t="inlineStr">
        <is>
          <t>PASSIVO</t>
        </is>
      </c>
      <c r="G4" s="4" t="n"/>
      <c r="H4" s="3" t="inlineStr">
        <is>
          <t>+</t>
        </is>
      </c>
      <c r="I4" s="3" t="inlineStr">
        <is>
          <t>PATRIMÔNIO LÍQUIDO</t>
        </is>
      </c>
      <c r="J4" s="4" t="n"/>
      <c r="K4" s="3" t="inlineStr">
        <is>
          <t>Check</t>
        </is>
      </c>
    </row>
    <row r="5">
      <c r="C5" s="5" t="inlineStr">
        <is>
          <t>conta</t>
        </is>
      </c>
      <c r="D5" s="5" t="inlineStr">
        <is>
          <t>valor</t>
        </is>
      </c>
      <c r="F5" s="5" t="inlineStr">
        <is>
          <t>conta</t>
        </is>
      </c>
      <c r="G5" s="5" t="inlineStr">
        <is>
          <t>valor</t>
        </is>
      </c>
      <c r="I5" s="5" t="inlineStr">
        <is>
          <t>conta</t>
        </is>
      </c>
      <c r="J5" s="5" t="inlineStr">
        <is>
          <t>valor</t>
        </is>
      </c>
    </row>
    <row r="6">
      <c r="A6" s="6" t="n">
        <v>1</v>
      </c>
      <c r="B6" s="7" t="inlineStr">
        <is>
          <t>Integralização de capital de R$ 120.000 em dinheiro</t>
        </is>
      </c>
      <c r="C6" s="8" t="inlineStr">
        <is>
          <t>Caixa</t>
        </is>
      </c>
      <c r="D6" s="9" t="n">
        <v>120000</v>
      </c>
      <c r="E6" s="10" t="inlineStr">
        <is>
          <t>=</t>
        </is>
      </c>
      <c r="F6" s="8" t="n"/>
      <c r="G6" s="9" t="n"/>
      <c r="H6" s="10" t="inlineStr">
        <is>
          <t>+</t>
        </is>
      </c>
      <c r="I6" s="8" t="inlineStr">
        <is>
          <t>Capital Social</t>
        </is>
      </c>
      <c r="J6" s="9" t="n">
        <v>120000</v>
      </c>
      <c r="K6" s="6">
        <f>IF(COUNT(D6:D7,G6:G7,J6:J7)=0,"",IF(SUM(D6:D7)-SUM(G6:G7)-SUM(J6:J7)=0,"✔","✗"))</f>
        <v/>
      </c>
    </row>
    <row r="7">
      <c r="C7" s="8" t="n"/>
      <c r="D7" s="9" t="n"/>
      <c r="E7" s="10" t="inlineStr">
        <is>
          <t>=</t>
        </is>
      </c>
      <c r="F7" s="8" t="n"/>
      <c r="G7" s="9" t="n"/>
      <c r="H7" s="10" t="inlineStr">
        <is>
          <t>+</t>
        </is>
      </c>
      <c r="I7" s="8" t="n"/>
      <c r="J7" s="9" t="n"/>
    </row>
    <row r="8">
      <c r="A8" s="6" t="n">
        <v>2</v>
      </c>
      <c r="B8" s="7" t="inlineStr">
        <is>
          <t>Compra à vista de equipamentos veterinários por R$ 70.000</t>
        </is>
      </c>
      <c r="C8" s="8" t="inlineStr">
        <is>
          <t>Caixa</t>
        </is>
      </c>
      <c r="D8" s="9" t="n">
        <v>-70000</v>
      </c>
      <c r="E8" s="10" t="inlineStr">
        <is>
          <t>=</t>
        </is>
      </c>
      <c r="F8" s="8" t="n"/>
      <c r="G8" s="9" t="n"/>
      <c r="H8" s="10" t="inlineStr">
        <is>
          <t>+</t>
        </is>
      </c>
      <c r="I8" s="8" t="n"/>
      <c r="J8" s="9" t="n"/>
      <c r="K8" s="6">
        <f>IF(COUNT(D8:D9,G8:G9,J8:J9)=0,"",IF(SUM(D8:D9)-SUM(G8:G9)-SUM(J8:J9)=0,"✔","✗"))</f>
        <v/>
      </c>
    </row>
    <row r="9">
      <c r="C9" s="8" t="inlineStr">
        <is>
          <t>Imobilizado</t>
        </is>
      </c>
      <c r="D9" s="9" t="n">
        <v>70000</v>
      </c>
      <c r="E9" s="10" t="inlineStr">
        <is>
          <t>=</t>
        </is>
      </c>
      <c r="F9" s="8" t="n"/>
      <c r="G9" s="9" t="n"/>
      <c r="H9" s="10" t="inlineStr">
        <is>
          <t>+</t>
        </is>
      </c>
      <c r="I9" s="8" t="n"/>
      <c r="J9" s="9" t="n"/>
    </row>
    <row r="10">
      <c r="A10" s="6" t="n">
        <v>3</v>
      </c>
      <c r="B10" s="7" t="inlineStr">
        <is>
          <t>Compra de medicamentos e insumos por R$ 18.000, integralmente a prazo</t>
        </is>
      </c>
      <c r="C10" s="8" t="inlineStr">
        <is>
          <t>Estoque de Insumos</t>
        </is>
      </c>
      <c r="D10" s="9" t="n">
        <v>18000</v>
      </c>
      <c r="E10" s="10" t="inlineStr">
        <is>
          <t>=</t>
        </is>
      </c>
      <c r="F10" s="8" t="inlineStr">
        <is>
          <t>Contas a Pagar</t>
        </is>
      </c>
      <c r="G10" s="9" t="n">
        <v>18000</v>
      </c>
      <c r="H10" s="10" t="inlineStr">
        <is>
          <t>+</t>
        </is>
      </c>
      <c r="I10" s="8" t="n"/>
      <c r="J10" s="9" t="n"/>
      <c r="K10" s="6">
        <f>IF(COUNT(D10:D11,G10:G11,J10:J11)=0,"",IF(SUM(D10:D11)-SUM(G10:G11)-SUM(J10:J11)=0,"✔","✗"))</f>
        <v/>
      </c>
    </row>
    <row r="11">
      <c r="C11" s="8" t="n"/>
      <c r="D11" s="9" t="n"/>
      <c r="E11" s="10" t="inlineStr">
        <is>
          <t>=</t>
        </is>
      </c>
      <c r="F11" s="8" t="n"/>
      <c r="G11" s="9" t="n"/>
      <c r="H11" s="10" t="inlineStr">
        <is>
          <t>+</t>
        </is>
      </c>
      <c r="I11" s="8" t="n"/>
      <c r="J11" s="9" t="n"/>
    </row>
    <row r="12">
      <c r="A12" s="6" t="n">
        <v>4</v>
      </c>
      <c r="B12" s="7" t="inlineStr">
        <is>
          <t>Serviços prestados no mês: R$ 52.000, sendo R$ 30.000 à vista e R$ 22.000 a receber de convênios</t>
        </is>
      </c>
      <c r="C12" s="8" t="inlineStr">
        <is>
          <t>Caixa</t>
        </is>
      </c>
      <c r="D12" s="9" t="n">
        <v>30000</v>
      </c>
      <c r="E12" s="10" t="inlineStr">
        <is>
          <t>=</t>
        </is>
      </c>
      <c r="F12" s="8" t="n"/>
      <c r="G12" s="9" t="n"/>
      <c r="H12" s="10" t="inlineStr">
        <is>
          <t>+</t>
        </is>
      </c>
      <c r="I12" s="8" t="inlineStr">
        <is>
          <t>Lucros Acumulados</t>
        </is>
      </c>
      <c r="J12" s="9" t="n">
        <v>52000</v>
      </c>
      <c r="K12" s="6">
        <f>IF(COUNT(D12:D13,G12:G13,J12:J13)=0,"",IF(SUM(D12:D13)-SUM(G12:G13)-SUM(J12:J13)=0,"✔","✗"))</f>
        <v/>
      </c>
    </row>
    <row r="13">
      <c r="C13" s="8" t="inlineStr">
        <is>
          <t>Contas a Receber</t>
        </is>
      </c>
      <c r="D13" s="9" t="n">
        <v>22000</v>
      </c>
      <c r="E13" s="10" t="inlineStr">
        <is>
          <t>=</t>
        </is>
      </c>
      <c r="F13" s="8" t="n"/>
      <c r="G13" s="9" t="n"/>
      <c r="H13" s="10" t="inlineStr">
        <is>
          <t>+</t>
        </is>
      </c>
      <c r="I13" s="8" t="n"/>
      <c r="J13" s="9" t="n"/>
    </row>
    <row r="14">
      <c r="A14" s="6" t="n">
        <v>5</v>
      </c>
      <c r="B14" s="7" t="inlineStr">
        <is>
          <t>Consumo de R$ 11.000 de medicamentos e insumos nos atendimentos do mês</t>
        </is>
      </c>
      <c r="C14" s="8" t="inlineStr">
        <is>
          <t>Estoque de Insumos</t>
        </is>
      </c>
      <c r="D14" s="9" t="n">
        <v>-11000</v>
      </c>
      <c r="E14" s="10" t="inlineStr">
        <is>
          <t>=</t>
        </is>
      </c>
      <c r="F14" s="8" t="n"/>
      <c r="G14" s="9" t="n"/>
      <c r="H14" s="10" t="inlineStr">
        <is>
          <t>+</t>
        </is>
      </c>
      <c r="I14" s="8" t="inlineStr">
        <is>
          <t>Lucros Acumulados</t>
        </is>
      </c>
      <c r="J14" s="9" t="n">
        <v>-11000</v>
      </c>
      <c r="K14" s="6">
        <f>IF(COUNT(D14:D15,G14:G15,J14:J15)=0,"",IF(SUM(D14:D15)-SUM(G14:G15)-SUM(J14:J15)=0,"✔","✗"))</f>
        <v/>
      </c>
    </row>
    <row r="15">
      <c r="C15" s="8" t="n"/>
      <c r="D15" s="9" t="n"/>
      <c r="E15" s="10" t="inlineStr">
        <is>
          <t>=</t>
        </is>
      </c>
      <c r="F15" s="8" t="n"/>
      <c r="G15" s="9" t="n"/>
      <c r="H15" s="10" t="inlineStr">
        <is>
          <t>+</t>
        </is>
      </c>
      <c r="I15" s="8" t="n"/>
      <c r="J15" s="9" t="n"/>
    </row>
    <row r="16">
      <c r="A16" s="6" t="n">
        <v>6</v>
      </c>
      <c r="B16" s="7" t="inlineStr">
        <is>
          <t>Pagamento à vista de salários: R$ 16.000 dos veterinários e R$ 8.000 da recepção e do administrativo</t>
        </is>
      </c>
      <c r="C16" s="8" t="inlineStr">
        <is>
          <t>Caixa</t>
        </is>
      </c>
      <c r="D16" s="9" t="n">
        <v>-24000</v>
      </c>
      <c r="E16" s="10" t="inlineStr">
        <is>
          <t>=</t>
        </is>
      </c>
      <c r="F16" s="8" t="n"/>
      <c r="G16" s="9" t="n"/>
      <c r="H16" s="10" t="inlineStr">
        <is>
          <t>+</t>
        </is>
      </c>
      <c r="I16" s="8" t="inlineStr">
        <is>
          <t>Lucros Acumulados</t>
        </is>
      </c>
      <c r="J16" s="9" t="n">
        <v>-24000</v>
      </c>
      <c r="K16" s="6">
        <f>IF(COUNT(D16:D17,G16:G17,J16:J17)=0,"",IF(SUM(D16:D17)-SUM(G16:G17)-SUM(J16:J17)=0,"✔","✗"))</f>
        <v/>
      </c>
    </row>
    <row r="17">
      <c r="C17" s="8" t="n"/>
      <c r="D17" s="9" t="n"/>
      <c r="E17" s="10" t="inlineStr">
        <is>
          <t>=</t>
        </is>
      </c>
      <c r="F17" s="8" t="n"/>
      <c r="G17" s="9" t="n"/>
      <c r="H17" s="10" t="inlineStr">
        <is>
          <t>+</t>
        </is>
      </c>
      <c r="I17" s="8" t="n"/>
      <c r="J17" s="9" t="n"/>
    </row>
    <row r="18">
      <c r="A18" s="6" t="n">
        <v>7</v>
      </c>
      <c r="B18" s="7" t="inlineStr">
        <is>
          <t>Pagamento de R$ 10.000 a fornecedores</t>
        </is>
      </c>
      <c r="C18" s="8" t="inlineStr">
        <is>
          <t>Caixa</t>
        </is>
      </c>
      <c r="D18" s="9" t="n">
        <v>-10000</v>
      </c>
      <c r="E18" s="10" t="inlineStr">
        <is>
          <t>=</t>
        </is>
      </c>
      <c r="F18" s="8" t="inlineStr">
        <is>
          <t>Contas a Pagar</t>
        </is>
      </c>
      <c r="G18" s="9" t="n">
        <v>-10000</v>
      </c>
      <c r="H18" s="10" t="inlineStr">
        <is>
          <t>+</t>
        </is>
      </c>
      <c r="I18" s="8" t="n"/>
      <c r="J18" s="9" t="n"/>
      <c r="K18" s="6">
        <f>IF(COUNT(D18:D19,G18:G19,J18:J19)=0,"",IF(SUM(D18:D19)-SUM(G18:G19)-SUM(J18:J19)=0,"✔","✗"))</f>
        <v/>
      </c>
    </row>
    <row r="19">
      <c r="C19" s="8" t="n"/>
      <c r="D19" s="9" t="n"/>
      <c r="E19" s="10" t="inlineStr">
        <is>
          <t>=</t>
        </is>
      </c>
      <c r="F19" s="8" t="n"/>
      <c r="G19" s="9" t="n"/>
      <c r="H19" s="10" t="inlineStr">
        <is>
          <t>+</t>
        </is>
      </c>
      <c r="I19" s="8" t="n"/>
      <c r="J19" s="9" t="n"/>
    </row>
    <row r="20">
      <c r="A20" s="6" t="n">
        <v>8</v>
      </c>
      <c r="B20" s="7" t="inlineStr">
        <is>
          <t>Recebimento de R$ 9.000 dos convênios</t>
        </is>
      </c>
      <c r="C20" s="8" t="inlineStr">
        <is>
          <t>Caixa</t>
        </is>
      </c>
      <c r="D20" s="9" t="n">
        <v>9000</v>
      </c>
      <c r="E20" s="10" t="inlineStr">
        <is>
          <t>=</t>
        </is>
      </c>
      <c r="F20" s="8" t="n"/>
      <c r="G20" s="9" t="n"/>
      <c r="H20" s="10" t="inlineStr">
        <is>
          <t>+</t>
        </is>
      </c>
      <c r="I20" s="8" t="n"/>
      <c r="J20" s="9" t="n"/>
      <c r="K20" s="6">
        <f>IF(COUNT(D20:D21,G20:G21,J20:J21)=0,"",IF(SUM(D20:D21)-SUM(G20:G21)-SUM(J20:J21)=0,"✔","✗"))</f>
        <v/>
      </c>
    </row>
    <row r="21">
      <c r="C21" s="8" t="inlineStr">
        <is>
          <t>Contas a Receber</t>
        </is>
      </c>
      <c r="D21" s="9" t="n">
        <v>-9000</v>
      </c>
      <c r="E21" s="10" t="inlineStr">
        <is>
          <t>=</t>
        </is>
      </c>
      <c r="F21" s="8" t="n"/>
      <c r="G21" s="9" t="n"/>
      <c r="H21" s="10" t="inlineStr">
        <is>
          <t>+</t>
        </is>
      </c>
      <c r="I21" s="8" t="n"/>
      <c r="J21" s="9" t="n"/>
    </row>
  </sheetData>
  <mergeCells count="28">
    <mergeCell ref="F4:G4"/>
    <mergeCell ref="B12:B13"/>
    <mergeCell ref="B18:B19"/>
    <mergeCell ref="B8:B9"/>
    <mergeCell ref="A16:A17"/>
    <mergeCell ref="A6:A7"/>
    <mergeCell ref="B14:B15"/>
    <mergeCell ref="C4:D4"/>
    <mergeCell ref="A12:A13"/>
    <mergeCell ref="K12:K13"/>
    <mergeCell ref="B10:B11"/>
    <mergeCell ref="B6:B7"/>
    <mergeCell ref="A18:A19"/>
    <mergeCell ref="A14:A15"/>
    <mergeCell ref="A1:D1"/>
    <mergeCell ref="A8:A9"/>
    <mergeCell ref="K14:K15"/>
    <mergeCell ref="K20:K21"/>
    <mergeCell ref="K8:K9"/>
    <mergeCell ref="A20:A21"/>
    <mergeCell ref="B20:B21"/>
    <mergeCell ref="A10:A11"/>
    <mergeCell ref="K10:K11"/>
    <mergeCell ref="I4:J4"/>
    <mergeCell ref="K16:K17"/>
    <mergeCell ref="K6:K7"/>
    <mergeCell ref="B16:B17"/>
    <mergeCell ref="K18:K19"/>
  </mergeCells>
  <dataValidations count="3">
    <dataValidation sqref="C6 C7 C8 C9 C10 C11 C12 C13 C14 C15 C16 C17 C18 C19 C20 C21" showDropDown="0" showInputMessage="0" showErrorMessage="0" allowBlank="1" type="list">
      <formula1>"Caixa,Contas a Receber,Estoque de Insumos,Imobilizado"</formula1>
    </dataValidation>
    <dataValidation sqref="F6 F7 F8 F9 F10 F11 F12 F13 F14 F15 F16 F17 F18 F19 F20 F21" showDropDown="0" showInputMessage="0" showErrorMessage="0" allowBlank="1" type="list">
      <formula1>"Contas a Pagar"</formula1>
    </dataValidation>
    <dataValidation sqref="I6 I7 I8 I9 I10 I11 I12 I13 I14 I15 I16 I17 I18 I19 I20 I21" showDropDown="0" showInputMessage="0" showErrorMessage="0" allowBlank="1" type="list">
      <formula1>"Capital Social,Lucros Acumulados"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2026-08-10T22:15:44Z</dcterms:created>
  <dcterms:modified xmlns:dcterms="http://purl.org/dc/terms/" xmlns:xsi="http://www.w3.org/2001/XMLSchema-instance" xsi:type="dcterms:W3CDTF">2026-08-10T22:15:44Z</dcterms:modified>
</cp:coreProperties>
</file>