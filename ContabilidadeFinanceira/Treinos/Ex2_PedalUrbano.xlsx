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Bike Shop Pedal Urbano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R$ 100.000 em dinheiro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de bicicletas para revenda por R$ 60.000: R$ 20.000 à vista, R$ 40.000 a prazo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à vista de ferramentas e bancada de oficina por R$ 15.000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Venda de 60% do estoque por R$ 54.000, metade à vista e metade a prazo (custo de R$ 36.000)</t>
        </is>
      </c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  <c r="K12" s="6">
        <f>IF(COUNT(D12:D14,G12:G14,J12:J14)=0,"",IF(SUM(D12:D14)-SUM(G12:G14)-SUM(J12:J14)=0,"✔","✗"))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Pagamento à vista de aluguel, energia e salário do vendedor: R$ 9.000</t>
        </is>
      </c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Pagamento de R$ 25.000 aos fornecedores</t>
        </is>
      </c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</sheetData>
  <mergeCells count="22">
    <mergeCell ref="F4:G4"/>
    <mergeCell ref="A12:A14"/>
    <mergeCell ref="B17:B18"/>
    <mergeCell ref="B8:B9"/>
    <mergeCell ref="A6:A7"/>
    <mergeCell ref="C4:D4"/>
    <mergeCell ref="B10:B11"/>
    <mergeCell ref="B6:B7"/>
    <mergeCell ref="B15:B16"/>
    <mergeCell ref="A1:D1"/>
    <mergeCell ref="A8:A9"/>
    <mergeCell ref="A17:A18"/>
    <mergeCell ref="K17:K18"/>
    <mergeCell ref="K8:K9"/>
    <mergeCell ref="B12:B14"/>
    <mergeCell ref="A10:A11"/>
    <mergeCell ref="K10:K11"/>
    <mergeCell ref="I4:J4"/>
    <mergeCell ref="A15:A16"/>
    <mergeCell ref="K6:K7"/>
    <mergeCell ref="K12:K14"/>
    <mergeCell ref="K15:K16"/>
  </mergeCells>
  <dataValidations count="3">
    <dataValidation sqref="C6 C7 C8 C9 C10 C11 C12 C13 C14 C15 C16 C17 C18" showDropDown="0" showInputMessage="0" showErrorMessage="0" allowBlank="1" type="list">
      <formula1>"Caixa,Contas a Receber,Estoque,Imobilizado"</formula1>
    </dataValidation>
    <dataValidation sqref="F6 F7 F8 F9 F10 F11 F12 F13 F14 F15 F16 F17 F18" showDropDown="0" showInputMessage="0" showErrorMessage="0" allowBlank="1" type="list">
      <formula1>"Contas a Pagar"</formula1>
    </dataValidation>
    <dataValidation sqref="I6 I7 I8 I9 I10 I11 I12 I13 I14 I15 I16 I17 I18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Bike Shop Pedal Urbano</t>
        </is>
      </c>
      <c r="D1" s="11" t="inlineStr">
        <is>
          <t>Transações, por Número e Descrição</t>
        </is>
      </c>
    </row>
    <row r="2" ht="42" customHeight="1">
      <c r="B2" s="2" t="inlineStr">
        <is>
          <t>Mês 1  |  valores em R$</t>
        </is>
      </c>
      <c r="D2" s="12" t="inlineStr">
        <is>
          <t>Integralização de capital de R$ 100.000 em dinheiro</t>
        </is>
      </c>
      <c r="E2" s="12" t="inlineStr">
        <is>
          <t>Compra de bicicletas para revenda por R$ 60.000: R$ 20.000 à</t>
        </is>
      </c>
      <c r="F2" s="12" t="inlineStr">
        <is>
          <t>Compra à vista de ferramentas e bancada de oficina por R$ 15</t>
        </is>
      </c>
      <c r="G2" s="12" t="inlineStr">
        <is>
          <t>Venda de 60% do estoque por R$ 54.000, metade à vista e meta</t>
        </is>
      </c>
      <c r="H2" s="12" t="inlineStr">
        <is>
          <t>Pagamento à vista de aluguel, energia e salário do vendedor:</t>
        </is>
      </c>
      <c r="I2" s="12" t="inlineStr">
        <is>
          <t>Pagamento de R$ 25.000 aos fornecedores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/>
      <c r="E6" s="9" t="n"/>
      <c r="F6" s="9" t="n"/>
      <c r="G6" s="9" t="n"/>
      <c r="H6" s="9" t="n"/>
      <c r="I6" s="9" t="n"/>
      <c r="J6" s="17">
        <f>C6+SUM(D6:I6)</f>
        <v/>
      </c>
      <c r="L6" s="18">
        <f>IF(COUNT(D6:I6)=0,"",IF(ABS(J6-Gabarito!J6)&lt;0.5,"✔","✗"))</f>
        <v/>
      </c>
    </row>
    <row r="7">
      <c r="B7" t="inlineStr">
        <is>
          <t>Contas a Receber</t>
        </is>
      </c>
      <c r="C7" s="16" t="n"/>
      <c r="D7" s="9" t="n"/>
      <c r="E7" s="9" t="n"/>
      <c r="F7" s="9" t="n"/>
      <c r="G7" s="9" t="n"/>
      <c r="H7" s="9" t="n"/>
      <c r="I7" s="9" t="n"/>
      <c r="J7" s="17">
        <f>C7+SUM(D7:I7)</f>
        <v/>
      </c>
      <c r="L7" s="18">
        <f>IF(COUNT(D7:I7)=0,"",IF(ABS(J7-Gabarito!J7)&lt;0.5,"✔","✗"))</f>
        <v/>
      </c>
    </row>
    <row r="8">
      <c r="B8" t="inlineStr">
        <is>
          <t>Estoque</t>
        </is>
      </c>
      <c r="C8" s="16" t="n"/>
      <c r="D8" s="9" t="n"/>
      <c r="E8" s="9" t="n"/>
      <c r="F8" s="9" t="n"/>
      <c r="G8" s="9" t="n"/>
      <c r="H8" s="9" t="n"/>
      <c r="I8" s="9" t="n"/>
      <c r="J8" s="17">
        <f>C8+SUM(D8:I8)</f>
        <v/>
      </c>
      <c r="L8" s="18">
        <f>IF(COUNT(D8:I8)=0,"",IF(ABS(J8-Gabarito!J8)&lt;0.5,"✔","✗"))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/>
      <c r="D10" s="9" t="n"/>
      <c r="E10" s="9" t="n"/>
      <c r="F10" s="9" t="n"/>
      <c r="G10" s="9" t="n"/>
      <c r="H10" s="9" t="n"/>
      <c r="I10" s="9" t="n"/>
      <c r="J10" s="17">
        <f>C10+SUM(D10:I10)</f>
        <v/>
      </c>
      <c r="L10" s="18">
        <f>IF(COUNT(D10:I10)=0,"",IF(ABS(J10-Gabarito!J10)&lt;0.5,"✔","✗"))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/>
      <c r="D14" s="9" t="n"/>
      <c r="E14" s="9" t="n"/>
      <c r="F14" s="9" t="n"/>
      <c r="G14" s="9" t="n"/>
      <c r="H14" s="9" t="n"/>
      <c r="I14" s="9" t="n"/>
      <c r="J14" s="17">
        <f>C14+SUM(D14:I14)</f>
        <v/>
      </c>
      <c r="L14" s="18">
        <f>IF(COUNT(D14:I14)=0,"",IF(ABS(J14-Gabarito!J14)&lt;0.5,"✔","✗"))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/>
      <c r="D16" s="9" t="n"/>
      <c r="E16" s="9" t="n"/>
      <c r="F16" s="9" t="n"/>
      <c r="G16" s="9" t="n"/>
      <c r="H16" s="9" t="n"/>
      <c r="I16" s="9" t="n"/>
      <c r="J16" s="17">
        <f>C16+SUM(D16:I16)</f>
        <v/>
      </c>
      <c r="L16" s="18">
        <f>IF(COUNT(D16:I16)=0,"",IF(ABS(J16-Gabarito!J16)&lt;0.5,"✔","✗"))</f>
        <v/>
      </c>
    </row>
    <row r="17">
      <c r="B17" t="inlineStr">
        <is>
          <t>Lucros Acumulados</t>
        </is>
      </c>
      <c r="C17" s="16" t="n"/>
      <c r="D17" s="9" t="n"/>
      <c r="E17" s="9" t="n"/>
      <c r="F17" s="9" t="n"/>
      <c r="G17" s="9" t="n"/>
      <c r="H17" s="9" t="n"/>
      <c r="I17" s="9" t="n"/>
      <c r="J17" s="17">
        <f>C17+SUM(D17:I17)</f>
        <v/>
      </c>
      <c r="L17" s="18">
        <f>IF(COUNT(D17:I17)=0,"",IF(ABS(J17-Gabarito!J17)&lt;0.5,"✔","✗"))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  <c r="L20" s="19">
        <f>IF(J20=0,"✔ fecha","✗ não fecha")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13" t="inlineStr">
        <is>
          <t>Mês 1</t>
        </is>
      </c>
      <c r="L22" s="22" t="inlineStr">
        <is>
          <t>Check</t>
        </is>
      </c>
    </row>
    <row r="23">
      <c r="B23" t="inlineStr">
        <is>
          <t>Receita de Vendas</t>
        </is>
      </c>
      <c r="D23" s="9" t="n"/>
      <c r="E23" s="9" t="n"/>
      <c r="F23" s="9" t="n"/>
      <c r="G23" s="9" t="n"/>
      <c r="H23" s="9" t="n"/>
      <c r="I23" s="9" t="n"/>
      <c r="J23" s="17">
        <f>SUM(D23:I23)</f>
        <v/>
      </c>
      <c r="L23" s="18">
        <f>IF(COUNT(D23:I23)=0,"",IF(ABS(J23-Gabarito!J23)&lt;0.5,"✔","✗"))</f>
        <v/>
      </c>
    </row>
    <row r="24">
      <c r="B24" t="inlineStr">
        <is>
          <t>(-) Custo das Mercadorias Vendidas</t>
        </is>
      </c>
      <c r="D24" s="9" t="n"/>
      <c r="E24" s="9" t="n"/>
      <c r="F24" s="9" t="n"/>
      <c r="G24" s="9" t="n"/>
      <c r="H24" s="9" t="n"/>
      <c r="I24" s="9" t="n"/>
      <c r="J24" s="17">
        <f>SUM(D24:I24)</f>
        <v/>
      </c>
      <c r="L24" s="18">
        <f>IF(COUNT(D24:I24)=0,"",IF(ABS(J24-Gabarito!J24)&lt;0.5,"✔","✗"))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/>
      <c r="I26" s="9" t="n"/>
      <c r="J26" s="17">
        <f>SUM(D26:I26)</f>
        <v/>
      </c>
      <c r="L26" s="18">
        <f>IF(COUNT(D26:I26)=0,"",IF(ABS(J26-Gabarito!J26)&lt;0.5,"✔","✗"))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13" t="inlineStr">
        <is>
          <t>Mês 1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</row>
    <row r="31">
      <c r="B31" t="inlineStr">
        <is>
          <t>Recebimentos de Clientes</t>
        </is>
      </c>
      <c r="D31" s="9" t="n"/>
      <c r="E31" s="9" t="n"/>
      <c r="F31" s="9" t="n"/>
      <c r="G31" s="9" t="n"/>
      <c r="H31" s="9" t="n"/>
      <c r="I31" s="9" t="n"/>
      <c r="J31" s="17">
        <f>SUM(D31:I31)</f>
        <v/>
      </c>
      <c r="L31" s="18">
        <f>IF(COUNT(D31:I31)=0,"",IF(ABS(J31-Gabarito!J31)&lt;0.5,"✔","✗"))</f>
        <v/>
      </c>
    </row>
    <row r="32">
      <c r="B32" t="inlineStr">
        <is>
          <t>Pagamentos a Fornecedores</t>
        </is>
      </c>
      <c r="D32" s="9" t="n"/>
      <c r="E32" s="9" t="n"/>
      <c r="F32" s="9" t="n"/>
      <c r="G32" s="9" t="n"/>
      <c r="H32" s="9" t="n"/>
      <c r="I32" s="9" t="n"/>
      <c r="J32" s="17">
        <f>SUM(D32:I32)</f>
        <v/>
      </c>
      <c r="L32" s="18">
        <f>IF(COUNT(D32:I32)=0,"",IF(ABS(J32-Gabarito!J32)&lt;0.5,"✔","✗"))</f>
        <v/>
      </c>
    </row>
    <row r="33">
      <c r="B33" t="inlineStr">
        <is>
          <t>Pagamentos de Despesas</t>
        </is>
      </c>
      <c r="D33" s="9" t="n"/>
      <c r="E33" s="9" t="n"/>
      <c r="F33" s="9" t="n"/>
      <c r="G33" s="9" t="n"/>
      <c r="H33" s="9" t="n"/>
      <c r="I33" s="9" t="n"/>
      <c r="J33" s="17">
        <f>SUM(D33:I33)</f>
        <v/>
      </c>
      <c r="L33" s="18">
        <f>IF(COUNT(D33:I33)=0,"",IF(ABS(J33-Gabarito!J33)&lt;0.5,"✔","✗"))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</row>
    <row r="35">
      <c r="B35" t="inlineStr">
        <is>
          <t>Aquisição de Imobilizado</t>
        </is>
      </c>
      <c r="D35" s="9" t="n"/>
      <c r="E35" s="9" t="n"/>
      <c r="F35" s="9" t="n"/>
      <c r="G35" s="9" t="n"/>
      <c r="H35" s="9" t="n"/>
      <c r="I35" s="9" t="n"/>
      <c r="J35" s="17">
        <f>SUM(D35:I35)</f>
        <v/>
      </c>
      <c r="L35" s="18">
        <f>IF(COUNT(D35:I35)=0,"",IF(ABS(J35-Gabarito!J35)&lt;0.5,"✔","✗"))</f>
        <v/>
      </c>
    </row>
    <row r="36">
      <c r="B36" s="19" t="inlineStr">
        <is>
          <t>FINANCIAMENTOS</t>
        </is>
      </c>
      <c r="D36" s="20">
        <f>SUM(D37:D37)</f>
        <v/>
      </c>
      <c r="E36" s="20">
        <f>SUM(E37:E37)</f>
        <v/>
      </c>
      <c r="F36" s="20">
        <f>SUM(F37:F37)</f>
        <v/>
      </c>
      <c r="G36" s="20">
        <f>SUM(G37:G37)</f>
        <v/>
      </c>
      <c r="H36" s="20">
        <f>SUM(H37:H37)</f>
        <v/>
      </c>
      <c r="I36" s="20">
        <f>SUM(I37:I37)</f>
        <v/>
      </c>
      <c r="J36" s="20">
        <f>SUM(J37:J37)</f>
        <v/>
      </c>
    </row>
    <row r="37">
      <c r="B37" t="inlineStr">
        <is>
          <t>Ingresso de Capital</t>
        </is>
      </c>
      <c r="D37" s="9" t="n"/>
      <c r="E37" s="9" t="n"/>
      <c r="F37" s="9" t="n"/>
      <c r="G37" s="9" t="n"/>
      <c r="H37" s="9" t="n"/>
      <c r="I37" s="9" t="n"/>
      <c r="J37" s="17">
        <f>SUM(D37:I37)</f>
        <v/>
      </c>
      <c r="L37" s="18">
        <f>IF(COUNT(D37:I37)=0,"",IF(ABS(J37-Gabarito!J37)&lt;0.5,"✔","✗"))</f>
        <v/>
      </c>
    </row>
    <row r="38">
      <c r="B38" s="19" t="inlineStr">
        <is>
          <t>VARIAÇÃO NO CAIXA</t>
        </is>
      </c>
      <c r="D38" s="20">
        <f>D30+D34+D36</f>
        <v/>
      </c>
      <c r="E38" s="20">
        <f>E30+E34+E36</f>
        <v/>
      </c>
      <c r="F38" s="20">
        <f>F30+F34+F36</f>
        <v/>
      </c>
      <c r="G38" s="20">
        <f>G30+G34+G36</f>
        <v/>
      </c>
      <c r="H38" s="20">
        <f>H30+H34+H36</f>
        <v/>
      </c>
      <c r="I38" s="20">
        <f>I30+I34+I36</f>
        <v/>
      </c>
      <c r="J38" s="20">
        <f>J30+J34+J36</f>
        <v/>
      </c>
    </row>
    <row r="39">
      <c r="B39" t="inlineStr">
        <is>
          <t xml:space="preserve">    Saldo inicial de caixa</t>
        </is>
      </c>
      <c r="J39" s="16" t="n">
        <v>0</v>
      </c>
    </row>
    <row r="40">
      <c r="B40" s="19" t="inlineStr">
        <is>
          <t xml:space="preserve">    Saldo final de caixa</t>
        </is>
      </c>
      <c r="J40" s="17">
        <f>J39+J38</f>
        <v/>
      </c>
    </row>
    <row r="42">
      <c r="B42" s="21" t="inlineStr">
        <is>
          <t>Caixa final da DFC menos Caixa do BP (tem que dar zero)</t>
        </is>
      </c>
      <c r="J42" s="17">
        <f>J40-J6</f>
        <v/>
      </c>
      <c r="L42" s="19">
        <f>IF(J42=0,"✔ amarra","✗ não amarra")</f>
        <v/>
      </c>
    </row>
    <row r="44">
      <c r="B44" s="13" t="inlineStr">
        <is>
          <t>Indicadores (automáticos)</t>
        </is>
      </c>
    </row>
    <row r="45">
      <c r="B45" t="inlineStr">
        <is>
          <t>Margem bruta</t>
        </is>
      </c>
      <c r="J45" s="23">
        <f>IF(J23=0,"",J25/J23)</f>
        <v/>
      </c>
    </row>
    <row r="46">
      <c r="B46" t="inlineStr">
        <is>
          <t>Margem líquida</t>
        </is>
      </c>
      <c r="J46" s="23">
        <f>IF(J23=0,"",J27/J23)</f>
        <v/>
      </c>
    </row>
    <row r="47">
      <c r="B47" t="inlineStr">
        <is>
          <t>% financiado por capital próprio (PL / Ativo)</t>
        </is>
      </c>
      <c r="J47" s="23">
        <f>IF(J11=0,"",SUM(J16:J17)/J11)</f>
        <v/>
      </c>
    </row>
    <row r="48">
      <c r="B48" t="inlineStr">
        <is>
          <t>ROE (LL / PL final)</t>
        </is>
      </c>
      <c r="J48" s="23">
        <f>IF(SUM(J16:J17)=0,"",J27/SUM(J16:J17))</f>
        <v/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" customWidth="1" min="11" max="11"/>
    <col width="13" customWidth="1" min="12" max="12"/>
  </cols>
  <sheetData>
    <row r="1">
      <c r="B1" s="1" t="inlineStr">
        <is>
          <t>Bike Shop Pedal Urbano</t>
        </is>
      </c>
      <c r="D1" s="11" t="inlineStr">
        <is>
          <t>Transações, por Número e Descrição</t>
        </is>
      </c>
    </row>
    <row r="2" ht="42" customHeight="1">
      <c r="B2" s="2" t="inlineStr">
        <is>
          <t>Mês 1  |  valores em R$</t>
        </is>
      </c>
      <c r="D2" s="12" t="inlineStr">
        <is>
          <t>Integralização de capital de R$ 100.000 em dinheiro</t>
        </is>
      </c>
      <c r="E2" s="12" t="inlineStr">
        <is>
          <t>Compra de bicicletas para revenda por R$ 60.000: R$ 20.000 à</t>
        </is>
      </c>
      <c r="F2" s="12" t="inlineStr">
        <is>
          <t>Compra à vista de ferramentas e bancada de oficina por R$ 15</t>
        </is>
      </c>
      <c r="G2" s="12" t="inlineStr">
        <is>
          <t>Venda de 60% do estoque por R$ 54.000, metade à vista e meta</t>
        </is>
      </c>
      <c r="H2" s="12" t="inlineStr">
        <is>
          <t>Pagamento à vista de aluguel, energia e salário do vendedor:</t>
        </is>
      </c>
      <c r="I2" s="12" t="inlineStr">
        <is>
          <t>Pagamento de R$ 25.000 aos fornecedores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/>
      <c r="D6" s="9" t="n">
        <v>100000</v>
      </c>
      <c r="E6" s="9" t="n">
        <v>-20000</v>
      </c>
      <c r="F6" s="9" t="n">
        <v>-15000</v>
      </c>
      <c r="G6" s="9" t="n">
        <v>27000</v>
      </c>
      <c r="H6" s="9" t="n">
        <v>-9000</v>
      </c>
      <c r="I6" s="9" t="n">
        <v>-25000</v>
      </c>
      <c r="J6" s="17">
        <f>C6+SUM(D6:I6)</f>
        <v/>
      </c>
    </row>
    <row r="7">
      <c r="B7" t="inlineStr">
        <is>
          <t>Contas a Receber</t>
        </is>
      </c>
      <c r="C7" s="16" t="n"/>
      <c r="D7" s="9" t="n"/>
      <c r="E7" s="9" t="n"/>
      <c r="F7" s="9" t="n"/>
      <c r="G7" s="9" t="n">
        <v>27000</v>
      </c>
      <c r="H7" s="9" t="n"/>
      <c r="I7" s="9" t="n"/>
      <c r="J7" s="17">
        <f>C7+SUM(D7:I7)</f>
        <v/>
      </c>
    </row>
    <row r="8">
      <c r="B8" t="inlineStr">
        <is>
          <t>Estoque</t>
        </is>
      </c>
      <c r="C8" s="16" t="n"/>
      <c r="D8" s="9" t="n"/>
      <c r="E8" s="9" t="n">
        <v>60000</v>
      </c>
      <c r="F8" s="9" t="n"/>
      <c r="G8" s="9" t="n">
        <v>-36000</v>
      </c>
      <c r="H8" s="9" t="n"/>
      <c r="I8" s="9" t="n"/>
      <c r="J8" s="17">
        <f>C8+SUM(D8:I8)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/>
      <c r="D10" s="9" t="n"/>
      <c r="E10" s="9" t="n"/>
      <c r="F10" s="9" t="n">
        <v>15000</v>
      </c>
      <c r="G10" s="9" t="n"/>
      <c r="H10" s="9" t="n"/>
      <c r="I10" s="9" t="n"/>
      <c r="J10" s="17">
        <f>C10+SUM(D10:I10)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/>
      <c r="D14" s="9" t="n"/>
      <c r="E14" s="9" t="n">
        <v>40000</v>
      </c>
      <c r="F14" s="9" t="n"/>
      <c r="G14" s="9" t="n"/>
      <c r="H14" s="9" t="n"/>
      <c r="I14" s="9" t="n">
        <v>-25000</v>
      </c>
      <c r="J14" s="17">
        <f>C14+SUM(D14:I14)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/>
      <c r="D16" s="9" t="n">
        <v>100000</v>
      </c>
      <c r="E16" s="9" t="n"/>
      <c r="F16" s="9" t="n"/>
      <c r="G16" s="9" t="n"/>
      <c r="H16" s="9" t="n"/>
      <c r="I16" s="9" t="n"/>
      <c r="J16" s="17">
        <f>C16+SUM(D16:I16)</f>
        <v/>
      </c>
    </row>
    <row r="17">
      <c r="B17" t="inlineStr">
        <is>
          <t>Lucros Acumulados</t>
        </is>
      </c>
      <c r="C17" s="16" t="n"/>
      <c r="D17" s="9" t="n"/>
      <c r="E17" s="9" t="n"/>
      <c r="F17" s="9" t="n"/>
      <c r="G17" s="9" t="n">
        <v>18000</v>
      </c>
      <c r="H17" s="9" t="n">
        <v>-9000</v>
      </c>
      <c r="I17" s="9" t="n"/>
      <c r="J17" s="17">
        <f>C17+SUM(D17:I17)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13" t="inlineStr">
        <is>
          <t>Mês 1</t>
        </is>
      </c>
      <c r="L22" s="22" t="inlineStr">
        <is>
          <t>Check</t>
        </is>
      </c>
    </row>
    <row r="23">
      <c r="B23" t="inlineStr">
        <is>
          <t>Receita de Vendas</t>
        </is>
      </c>
      <c r="D23" s="9" t="n"/>
      <c r="E23" s="9" t="n"/>
      <c r="F23" s="9" t="n"/>
      <c r="G23" s="9" t="n">
        <v>54000</v>
      </c>
      <c r="H23" s="9" t="n"/>
      <c r="I23" s="9" t="n"/>
      <c r="J23" s="17">
        <f>SUM(D23:I23)</f>
        <v/>
      </c>
    </row>
    <row r="24">
      <c r="B24" t="inlineStr">
        <is>
          <t>(-) Custo das Mercadorias Vendidas</t>
        </is>
      </c>
      <c r="D24" s="9" t="n"/>
      <c r="E24" s="9" t="n"/>
      <c r="F24" s="9" t="n"/>
      <c r="G24" s="9" t="n">
        <v>-36000</v>
      </c>
      <c r="H24" s="9" t="n"/>
      <c r="I24" s="9" t="n"/>
      <c r="J24" s="17">
        <f>SUM(D24:I24)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>
        <v>-9000</v>
      </c>
      <c r="I26" s="9" t="n"/>
      <c r="J26" s="17">
        <f>SUM(D26:I26)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13" t="inlineStr">
        <is>
          <t>Mês 1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</row>
    <row r="31">
      <c r="B31" t="inlineStr">
        <is>
          <t>Recebimentos de Clientes</t>
        </is>
      </c>
      <c r="D31" s="9" t="n"/>
      <c r="E31" s="9" t="n"/>
      <c r="F31" s="9" t="n"/>
      <c r="G31" s="9" t="n">
        <v>27000</v>
      </c>
      <c r="H31" s="9" t="n"/>
      <c r="I31" s="9" t="n"/>
      <c r="J31" s="17">
        <f>SUM(D31:I31)</f>
        <v/>
      </c>
    </row>
    <row r="32">
      <c r="B32" t="inlineStr">
        <is>
          <t>Pagamentos a Fornecedores</t>
        </is>
      </c>
      <c r="D32" s="9" t="n"/>
      <c r="E32" s="9" t="n">
        <v>-20000</v>
      </c>
      <c r="F32" s="9" t="n"/>
      <c r="G32" s="9" t="n"/>
      <c r="H32" s="9" t="n"/>
      <c r="I32" s="9" t="n">
        <v>-25000</v>
      </c>
      <c r="J32" s="17">
        <f>SUM(D32:I32)</f>
        <v/>
      </c>
    </row>
    <row r="33">
      <c r="B33" t="inlineStr">
        <is>
          <t>Pagamentos de Despesas</t>
        </is>
      </c>
      <c r="D33" s="9" t="n"/>
      <c r="E33" s="9" t="n"/>
      <c r="F33" s="9" t="n"/>
      <c r="G33" s="9" t="n"/>
      <c r="H33" s="9" t="n">
        <v>-9000</v>
      </c>
      <c r="I33" s="9" t="n"/>
      <c r="J33" s="17">
        <f>SUM(D33:I33)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</row>
    <row r="35">
      <c r="B35" t="inlineStr">
        <is>
          <t>Aquisição de Imobilizado</t>
        </is>
      </c>
      <c r="D35" s="9" t="n"/>
      <c r="E35" s="9" t="n"/>
      <c r="F35" s="9" t="n">
        <v>-15000</v>
      </c>
      <c r="G35" s="9" t="n"/>
      <c r="H35" s="9" t="n"/>
      <c r="I35" s="9" t="n"/>
      <c r="J35" s="17">
        <f>SUM(D35:I35)</f>
        <v/>
      </c>
    </row>
    <row r="36">
      <c r="B36" s="19" t="inlineStr">
        <is>
          <t>FINANCIAMENTOS</t>
        </is>
      </c>
      <c r="D36" s="20">
        <f>SUM(D37:D37)</f>
        <v/>
      </c>
      <c r="E36" s="20">
        <f>SUM(E37:E37)</f>
        <v/>
      </c>
      <c r="F36" s="20">
        <f>SUM(F37:F37)</f>
        <v/>
      </c>
      <c r="G36" s="20">
        <f>SUM(G37:G37)</f>
        <v/>
      </c>
      <c r="H36" s="20">
        <f>SUM(H37:H37)</f>
        <v/>
      </c>
      <c r="I36" s="20">
        <f>SUM(I37:I37)</f>
        <v/>
      </c>
      <c r="J36" s="20">
        <f>SUM(J37:J37)</f>
        <v/>
      </c>
    </row>
    <row r="37">
      <c r="B37" t="inlineStr">
        <is>
          <t>Ingresso de Capital</t>
        </is>
      </c>
      <c r="D37" s="9" t="n">
        <v>100000</v>
      </c>
      <c r="E37" s="9" t="n"/>
      <c r="F37" s="9" t="n"/>
      <c r="G37" s="9" t="n"/>
      <c r="H37" s="9" t="n"/>
      <c r="I37" s="9" t="n"/>
      <c r="J37" s="17">
        <f>SUM(D37:I37)</f>
        <v/>
      </c>
    </row>
    <row r="38">
      <c r="B38" s="19" t="inlineStr">
        <is>
          <t>VARIAÇÃO NO CAIXA</t>
        </is>
      </c>
      <c r="D38" s="20">
        <f>D30+D34+D36</f>
        <v/>
      </c>
      <c r="E38" s="20">
        <f>E30+E34+E36</f>
        <v/>
      </c>
      <c r="F38" s="20">
        <f>F30+F34+F36</f>
        <v/>
      </c>
      <c r="G38" s="20">
        <f>G30+G34+G36</f>
        <v/>
      </c>
      <c r="H38" s="20">
        <f>H30+H34+H36</f>
        <v/>
      </c>
      <c r="I38" s="20">
        <f>I30+I34+I36</f>
        <v/>
      </c>
      <c r="J38" s="20">
        <f>J30+J34+J36</f>
        <v/>
      </c>
    </row>
    <row r="39">
      <c r="B39" t="inlineStr">
        <is>
          <t xml:space="preserve">    Saldo inicial de caixa</t>
        </is>
      </c>
      <c r="J39" s="16" t="n">
        <v>0</v>
      </c>
    </row>
    <row r="40">
      <c r="B40" s="19" t="inlineStr">
        <is>
          <t xml:space="preserve">    Saldo final de caixa</t>
        </is>
      </c>
      <c r="J40" s="17">
        <f>J39+J38</f>
        <v/>
      </c>
    </row>
    <row r="42">
      <c r="B42" s="21" t="inlineStr">
        <is>
          <t>Caixa final da DFC menos Caixa do BP (tem que dar zero)</t>
        </is>
      </c>
      <c r="J42" s="17">
        <f>J40-J6</f>
        <v/>
      </c>
    </row>
    <row r="44">
      <c r="B44" s="13" t="inlineStr">
        <is>
          <t>Indicadores (automáticos)</t>
        </is>
      </c>
    </row>
    <row r="45">
      <c r="B45" t="inlineStr">
        <is>
          <t>Margem bruta</t>
        </is>
      </c>
      <c r="J45" s="23">
        <f>IF(J23=0,"",J25/J23)</f>
        <v/>
      </c>
    </row>
    <row r="46">
      <c r="B46" t="inlineStr">
        <is>
          <t>Margem líquida</t>
        </is>
      </c>
      <c r="J46" s="23">
        <f>IF(J23=0,"",J27/J23)</f>
        <v/>
      </c>
    </row>
    <row r="47">
      <c r="B47" t="inlineStr">
        <is>
          <t>% financiado por capital próprio (PL / Ativo)</t>
        </is>
      </c>
      <c r="J47" s="23">
        <f>IF(J11=0,"",SUM(J16:J17)/J11)</f>
        <v/>
      </c>
    </row>
    <row r="48">
      <c r="B48" t="inlineStr">
        <is>
          <t>ROE (LL / PL final)</t>
        </is>
      </c>
      <c r="J48" s="23">
        <f>IF(SUM(J16:J17)=0,"",J27/SUM(J16:J17))</f>
        <v/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Bike Shop Pedal Urbano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Integralização de capital de R$ 100.000 em dinheiro</t>
        </is>
      </c>
      <c r="C6" s="8" t="inlineStr">
        <is>
          <t>Caixa</t>
        </is>
      </c>
      <c r="D6" s="9" t="n">
        <v>100000</v>
      </c>
      <c r="E6" s="10" t="inlineStr">
        <is>
          <t>=</t>
        </is>
      </c>
      <c r="F6" s="8" t="n"/>
      <c r="G6" s="9" t="n"/>
      <c r="H6" s="10" t="inlineStr">
        <is>
          <t>+</t>
        </is>
      </c>
      <c r="I6" s="8" t="inlineStr">
        <is>
          <t>Capital Social</t>
        </is>
      </c>
      <c r="J6" s="9" t="n">
        <v>100000</v>
      </c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de bicicletas para revenda por R$ 60.000: R$ 20.000 à vista, R$ 40.000 a prazo</t>
        </is>
      </c>
      <c r="C8" s="8" t="inlineStr">
        <is>
          <t>Caixa</t>
        </is>
      </c>
      <c r="D8" s="9" t="n">
        <v>-20000</v>
      </c>
      <c r="E8" s="10" t="inlineStr">
        <is>
          <t>=</t>
        </is>
      </c>
      <c r="F8" s="8" t="inlineStr">
        <is>
          <t>Contas a Pagar</t>
        </is>
      </c>
      <c r="G8" s="9" t="n">
        <v>40000</v>
      </c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inlineStr">
        <is>
          <t>Estoque</t>
        </is>
      </c>
      <c r="D9" s="9" t="n">
        <v>60000</v>
      </c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Compra à vista de ferramentas e bancada de oficina por R$ 15.000</t>
        </is>
      </c>
      <c r="C10" s="8" t="inlineStr">
        <is>
          <t>Caixa</t>
        </is>
      </c>
      <c r="D10" s="9" t="n">
        <v>-15000</v>
      </c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inlineStr">
        <is>
          <t>Imobilizado</t>
        </is>
      </c>
      <c r="D11" s="9" t="n">
        <v>15000</v>
      </c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Venda de 60% do estoque por R$ 54.000, metade à vista e metade a prazo (custo de R$ 36.000)</t>
        </is>
      </c>
      <c r="C12" s="8" t="inlineStr">
        <is>
          <t>Caixa</t>
        </is>
      </c>
      <c r="D12" s="9" t="n">
        <v>27000</v>
      </c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inlineStr">
        <is>
          <t>Lucros Acumulados</t>
        </is>
      </c>
      <c r="J12" s="9" t="n">
        <v>18000</v>
      </c>
      <c r="K12" s="6">
        <f>IF(COUNT(D12:D14,G12:G14,J12:J14)=0,"",IF(SUM(D12:D14)-SUM(G12:G14)-SUM(J12:J14)=0,"✔","✗"))</f>
        <v/>
      </c>
    </row>
    <row r="13">
      <c r="C13" s="8" t="inlineStr">
        <is>
          <t>Contas a Receber</t>
        </is>
      </c>
      <c r="D13" s="9" t="n">
        <v>27000</v>
      </c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C14" s="8" t="inlineStr">
        <is>
          <t>Estoque</t>
        </is>
      </c>
      <c r="D14" s="9" t="n">
        <v>-36000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Pagamento à vista de aluguel, energia e salário do vendedor: R$ 9.000</t>
        </is>
      </c>
      <c r="C15" s="8" t="inlineStr">
        <is>
          <t>Caixa</t>
        </is>
      </c>
      <c r="D15" s="9" t="n">
        <v>-9000</v>
      </c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inlineStr">
        <is>
          <t>Lucros Acumulados</t>
        </is>
      </c>
      <c r="J15" s="9" t="n">
        <v>-9000</v>
      </c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Pagamento de R$ 25.000 aos fornecedores</t>
        </is>
      </c>
      <c r="C17" s="8" t="inlineStr">
        <is>
          <t>Caixa</t>
        </is>
      </c>
      <c r="D17" s="9" t="n">
        <v>-25000</v>
      </c>
      <c r="E17" s="10" t="inlineStr">
        <is>
          <t>=</t>
        </is>
      </c>
      <c r="F17" s="8" t="inlineStr">
        <is>
          <t>Contas a Pagar</t>
        </is>
      </c>
      <c r="G17" s="9" t="n">
        <v>-25000</v>
      </c>
      <c r="H17" s="10" t="inlineStr">
        <is>
          <t>+</t>
        </is>
      </c>
      <c r="I17" s="8" t="n"/>
      <c r="J17" s="9" t="n"/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</sheetData>
  <mergeCells count="22">
    <mergeCell ref="F4:G4"/>
    <mergeCell ref="A12:A14"/>
    <mergeCell ref="B17:B18"/>
    <mergeCell ref="B8:B9"/>
    <mergeCell ref="A6:A7"/>
    <mergeCell ref="C4:D4"/>
    <mergeCell ref="B10:B11"/>
    <mergeCell ref="B6:B7"/>
    <mergeCell ref="B15:B16"/>
    <mergeCell ref="A1:D1"/>
    <mergeCell ref="A8:A9"/>
    <mergeCell ref="A17:A18"/>
    <mergeCell ref="K17:K18"/>
    <mergeCell ref="K8:K9"/>
    <mergeCell ref="B12:B14"/>
    <mergeCell ref="A10:A11"/>
    <mergeCell ref="K10:K11"/>
    <mergeCell ref="I4:J4"/>
    <mergeCell ref="A15:A16"/>
    <mergeCell ref="K6:K7"/>
    <mergeCell ref="K12:K14"/>
    <mergeCell ref="K15:K16"/>
  </mergeCells>
  <dataValidations count="3">
    <dataValidation sqref="C6 C7 C8 C9 C10 C11 C12 C13 C14 C15 C16 C17 C18" showDropDown="0" showInputMessage="0" showErrorMessage="0" allowBlank="1" type="list">
      <formula1>"Caixa,Contas a Receber,Estoque,Imobilizado"</formula1>
    </dataValidation>
    <dataValidation sqref="F6 F7 F8 F9 F10 F11 F12 F13 F14 F15 F16 F17 F18" showDropDown="0" showInputMessage="0" showErrorMessage="0" allowBlank="1" type="list">
      <formula1>"Contas a Pagar"</formula1>
    </dataValidation>
    <dataValidation sqref="I6 I7 I8 I9 I10 I11 I12 I13 I14 I15 I16 I17 I18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2026-08-10T22:15:44Z</dcterms:created>
  <dcterms:modified xmlns:dcterms="http://purl.org/dc/terms/" xmlns:xsi="http://www.w3.org/2001/XMLSchema-instance" xsi:type="dcterms:W3CDTF">2026-08-10T22:15:44Z</dcterms:modified>
</cp:coreProperties>
</file>