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quação" sheetId="1" state="visible" r:id="rId1"/>
    <sheet xmlns:r="http://schemas.openxmlformats.org/officeDocument/2006/relationships" name="Plan" sheetId="2" state="visible" r:id="rId2"/>
    <sheet xmlns:r="http://schemas.openxmlformats.org/officeDocument/2006/relationships" name="Gabarito" sheetId="3" state="visible" r:id="rId3"/>
    <sheet xmlns:r="http://schemas.openxmlformats.org/officeDocument/2006/relationships" name="Gabarito Equação" sheetId="4" state="visible" r:id="rId4"/>
  </sheets>
  <definedNames/>
  <calcPr calcId="124519" fullCalcOnLoad="1"/>
</workbook>
</file>

<file path=xl/styles.xml><?xml version="1.0" encoding="utf-8"?>
<styleSheet xmlns="http://schemas.openxmlformats.org/spreadsheetml/2006/main">
  <numFmts count="2">
    <numFmt numFmtId="164" formatCode="#,##0;[Red]-#,##0;&quot;-&quot;"/>
    <numFmt numFmtId="165" formatCode="0.0%"/>
  </numFmts>
  <fonts count="9">
    <font>
      <name val="Calibri"/>
      <family val="2"/>
      <color theme="1"/>
      <sz val="11"/>
      <scheme val="minor"/>
    </font>
    <font>
      <b val="1"/>
      <color rgb="00FFFFFF"/>
    </font>
    <font>
      <i val="1"/>
      <color rgb="00808080"/>
      <sz val="9"/>
    </font>
    <font>
      <b val="1"/>
    </font>
    <font>
      <i val="1"/>
      <color rgb="00808080"/>
      <sz val="8"/>
    </font>
    <font>
      <b val="1"/>
      <i val="1"/>
      <sz val="9"/>
    </font>
    <font>
      <b val="1"/>
      <i val="1"/>
    </font>
    <font>
      <b val="1"/>
      <color rgb="00C00000"/>
    </font>
    <font>
      <b val="1"/>
      <sz val="9"/>
    </font>
  </fonts>
  <fills count="6">
    <fill>
      <patternFill/>
    </fill>
    <fill>
      <patternFill patternType="gray125"/>
    </fill>
    <fill>
      <patternFill patternType="solid">
        <fgColor rgb="001F3864"/>
      </patternFill>
    </fill>
    <fill>
      <patternFill patternType="solid">
        <fgColor rgb="00D9E1F2"/>
      </patternFill>
    </fill>
    <fill>
      <patternFill patternType="solid">
        <fgColor rgb="00FFF2CC"/>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0" pivotButton="0" quotePrefix="0" xfId="0"/>
    <xf numFmtId="0" fontId="2" fillId="0" borderId="0" pivotButton="0" quotePrefix="0" xfId="0"/>
    <xf numFmtId="0" fontId="3" fillId="3" borderId="0" applyAlignment="1" pivotButton="0" quotePrefix="0" xfId="0">
      <alignment horizontal="center"/>
    </xf>
    <xf numFmtId="0" fontId="0" fillId="3" borderId="0" pivotButton="0" quotePrefix="0" xfId="0"/>
    <xf numFmtId="0" fontId="4" fillId="0" borderId="0" applyAlignment="1" pivotButton="0" quotePrefix="0" xfId="0">
      <alignment horizontal="center"/>
    </xf>
    <xf numFmtId="0" fontId="3" fillId="0" borderId="0" applyAlignment="1" pivotButton="0" quotePrefix="0" xfId="0">
      <alignment horizontal="center" vertical="center"/>
    </xf>
    <xf numFmtId="0" fontId="0" fillId="0" borderId="0" applyAlignment="1" pivotButton="0" quotePrefix="0" xfId="0">
      <alignment vertical="center" wrapText="1"/>
    </xf>
    <xf numFmtId="0" fontId="0" fillId="4" borderId="1" pivotButton="0" quotePrefix="0" xfId="0"/>
    <xf numFmtId="164" fontId="0" fillId="4" borderId="1" pivotButton="0" quotePrefix="0" xfId="0"/>
    <xf numFmtId="0" fontId="0" fillId="0" borderId="0" applyAlignment="1" pivotButton="0" quotePrefix="0" xfId="0">
      <alignment horizontal="center"/>
    </xf>
    <xf numFmtId="0" fontId="5" fillId="0" borderId="0" pivotButton="0" quotePrefix="0" xfId="0"/>
    <xf numFmtId="0" fontId="4" fillId="0" borderId="0" applyAlignment="1" pivotButton="0" quotePrefix="0" xfId="0">
      <alignment vertical="bottom" wrapText="1"/>
    </xf>
    <xf numFmtId="0" fontId="3" fillId="3" borderId="0" pivotButton="0" quotePrefix="0" xfId="0"/>
    <xf numFmtId="0" fontId="3" fillId="5" borderId="0" pivotButton="0" quotePrefix="0" xfId="0"/>
    <xf numFmtId="0" fontId="6" fillId="0" borderId="0" pivotButton="0" quotePrefix="0" xfId="0"/>
    <xf numFmtId="164" fontId="0" fillId="0" borderId="0" pivotButton="0" quotePrefix="0" xfId="0"/>
    <xf numFmtId="164" fontId="3" fillId="0" borderId="0" pivotButton="0" quotePrefix="0" xfId="0"/>
    <xf numFmtId="0" fontId="3" fillId="0" borderId="0" applyAlignment="1" pivotButton="0" quotePrefix="0" xfId="0">
      <alignment horizontal="center"/>
    </xf>
    <xf numFmtId="0" fontId="3" fillId="0" borderId="0" pivotButton="0" quotePrefix="0" xfId="0"/>
    <xf numFmtId="164" fontId="3" fillId="5" borderId="0" pivotButton="0" quotePrefix="0" xfId="0"/>
    <xf numFmtId="0" fontId="7" fillId="0" borderId="0" pivotButton="0" quotePrefix="0" xfId="0"/>
    <xf numFmtId="0" fontId="8" fillId="0" borderId="0" pivotButton="0" quotePrefix="0" xfId="0"/>
    <xf numFmtId="165"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46" customWidth="1" min="2" max="2"/>
    <col width="24" customWidth="1" min="3" max="3"/>
    <col width="13" customWidth="1" min="4" max="4"/>
    <col width="3" customWidth="1" min="5" max="5"/>
    <col width="24" customWidth="1" min="6" max="6"/>
    <col width="13" customWidth="1" min="7" max="7"/>
    <col width="3" customWidth="1" min="8" max="8"/>
    <col width="20" customWidth="1" min="9" max="9"/>
    <col width="13" customWidth="1" min="10" max="10"/>
    <col width="8" customWidth="1" min="11" max="11"/>
  </cols>
  <sheetData>
    <row r="1">
      <c r="A1" s="1" t="inlineStr">
        <is>
          <t>Transportadora Rota Sul S.A.  |  Efeito das transações na Equação do Balanço</t>
        </is>
      </c>
    </row>
    <row r="2">
      <c r="A2" s="2" t="inlineStr">
        <is>
          <t>Uma linha por movimento: escreve a conta e o valor, com sinal. Transação que mexe em três contas do mesmo lado usa as três linhas. A coluna Check acusa se aquela transação fechou.</t>
        </is>
      </c>
    </row>
    <row r="4">
      <c r="A4" s="3" t="inlineStr">
        <is>
          <t>Nº</t>
        </is>
      </c>
      <c r="B4" s="3" t="inlineStr">
        <is>
          <t>Descrição</t>
        </is>
      </c>
      <c r="C4" s="3" t="inlineStr">
        <is>
          <t>ATIVO</t>
        </is>
      </c>
      <c r="D4" s="4" t="n"/>
      <c r="E4" s="3" t="inlineStr">
        <is>
          <t>=</t>
        </is>
      </c>
      <c r="F4" s="3" t="inlineStr">
        <is>
          <t>PASSIVO</t>
        </is>
      </c>
      <c r="G4" s="4" t="n"/>
      <c r="H4" s="3" t="inlineStr">
        <is>
          <t>+</t>
        </is>
      </c>
      <c r="I4" s="3" t="inlineStr">
        <is>
          <t>PATRIMÔNIO LÍQUIDO</t>
        </is>
      </c>
      <c r="J4" s="4" t="n"/>
      <c r="K4" s="3" t="inlineStr">
        <is>
          <t>Check</t>
        </is>
      </c>
    </row>
    <row r="5">
      <c r="C5" s="5" t="inlineStr">
        <is>
          <t>conta</t>
        </is>
      </c>
      <c r="D5" s="5" t="inlineStr">
        <is>
          <t>valor</t>
        </is>
      </c>
      <c r="F5" s="5" t="inlineStr">
        <is>
          <t>conta</t>
        </is>
      </c>
      <c r="G5" s="5" t="inlineStr">
        <is>
          <t>valor</t>
        </is>
      </c>
      <c r="I5" s="5" t="inlineStr">
        <is>
          <t>conta</t>
        </is>
      </c>
      <c r="J5" s="5" t="inlineStr">
        <is>
          <t>valor</t>
        </is>
      </c>
    </row>
    <row r="6">
      <c r="A6" s="6" t="n">
        <v>1</v>
      </c>
      <c r="B6" s="7" t="inlineStr">
        <is>
          <t>Receita de fretes do ano: 920, sendo 620 recebidos à vista e 300 a prazo</t>
        </is>
      </c>
      <c r="C6" s="8" t="n"/>
      <c r="D6" s="9" t="n"/>
      <c r="E6" s="10" t="inlineStr">
        <is>
          <t>=</t>
        </is>
      </c>
      <c r="F6" s="8" t="n"/>
      <c r="G6" s="9" t="n"/>
      <c r="H6" s="10" t="inlineStr">
        <is>
          <t>+</t>
        </is>
      </c>
      <c r="I6" s="8" t="n"/>
      <c r="J6" s="9" t="n"/>
      <c r="K6" s="6">
        <f>IF(COUNT(D6:D7,G6:G7,J6:J7)=0,"",IF(SUM(D6:D7)-SUM(G6:G7)-SUM(J6:J7)=0,"✔","✗"))</f>
        <v/>
      </c>
    </row>
    <row r="7">
      <c r="C7" s="8" t="n"/>
      <c r="D7" s="9" t="n"/>
      <c r="E7" s="10" t="inlineStr">
        <is>
          <t>=</t>
        </is>
      </c>
      <c r="F7" s="8" t="n"/>
      <c r="G7" s="9" t="n"/>
      <c r="H7" s="10" t="inlineStr">
        <is>
          <t>+</t>
        </is>
      </c>
      <c r="I7" s="8" t="n"/>
      <c r="J7" s="9" t="n"/>
    </row>
    <row r="8">
      <c r="A8" s="6" t="n">
        <v>2</v>
      </c>
      <c r="B8" s="7" t="inlineStr">
        <is>
          <t>Consumo de 45 de peças da oficina nas manutenções da frota</t>
        </is>
      </c>
      <c r="C8" s="8" t="n"/>
      <c r="D8" s="9" t="n"/>
      <c r="E8" s="10" t="inlineStr">
        <is>
          <t>=</t>
        </is>
      </c>
      <c r="F8" s="8" t="n"/>
      <c r="G8" s="9" t="n"/>
      <c r="H8" s="10" t="inlineStr">
        <is>
          <t>+</t>
        </is>
      </c>
      <c r="I8" s="8" t="n"/>
      <c r="J8" s="9" t="n"/>
      <c r="K8" s="6">
        <f>IF(COUNT(D8:D9,G8:G9,J8:J9)=0,"",IF(SUM(D8:D9)-SUM(G8:G9)-SUM(J8:J9)=0,"✔","✗"))</f>
        <v/>
      </c>
    </row>
    <row r="9">
      <c r="C9" s="8" t="n"/>
      <c r="D9" s="9" t="n"/>
      <c r="E9" s="10" t="inlineStr">
        <is>
          <t>=</t>
        </is>
      </c>
      <c r="F9" s="8" t="n"/>
      <c r="G9" s="9" t="n"/>
      <c r="H9" s="10" t="inlineStr">
        <is>
          <t>+</t>
        </is>
      </c>
      <c r="I9" s="8" t="n"/>
      <c r="J9" s="9" t="n"/>
    </row>
    <row r="10">
      <c r="A10" s="6" t="n">
        <v>3</v>
      </c>
      <c r="B10" s="7" t="inlineStr">
        <is>
          <t>Custos de operação pagos à vista (combustível, pedágio e salários de motoristas): 540</t>
        </is>
      </c>
      <c r="C10" s="8" t="n"/>
      <c r="D10" s="9" t="n"/>
      <c r="E10" s="10" t="inlineStr">
        <is>
          <t>=</t>
        </is>
      </c>
      <c r="F10" s="8" t="n"/>
      <c r="G10" s="9" t="n"/>
      <c r="H10" s="10" t="inlineStr">
        <is>
          <t>+</t>
        </is>
      </c>
      <c r="I10" s="8" t="n"/>
      <c r="J10" s="9" t="n"/>
      <c r="K10" s="6">
        <f>IF(COUNT(D10:D11,G10:G11,J10:J11)=0,"",IF(SUM(D10:D11)-SUM(G10:G11)-SUM(J10:J11)=0,"✔","✗"))</f>
        <v/>
      </c>
    </row>
    <row r="11">
      <c r="C11" s="8" t="n"/>
      <c r="D11" s="9" t="n"/>
      <c r="E11" s="10" t="inlineStr">
        <is>
          <t>=</t>
        </is>
      </c>
      <c r="F11" s="8" t="n"/>
      <c r="G11" s="9" t="n"/>
      <c r="H11" s="10" t="inlineStr">
        <is>
          <t>+</t>
        </is>
      </c>
      <c r="I11" s="8" t="n"/>
      <c r="J11" s="9" t="n"/>
    </row>
    <row r="12">
      <c r="A12" s="6" t="n">
        <v>4</v>
      </c>
      <c r="B12" s="7" t="inlineStr">
        <is>
          <t>Compra de peças de reposição por 60, integralmente a prazo</t>
        </is>
      </c>
      <c r="C12" s="8" t="n"/>
      <c r="D12" s="9" t="n"/>
      <c r="E12" s="10" t="inlineStr">
        <is>
          <t>=</t>
        </is>
      </c>
      <c r="F12" s="8" t="n"/>
      <c r="G12" s="9" t="n"/>
      <c r="H12" s="10" t="inlineStr">
        <is>
          <t>+</t>
        </is>
      </c>
      <c r="I12" s="8" t="n"/>
      <c r="J12" s="9" t="n"/>
      <c r="K12" s="6">
        <f>IF(COUNT(D12:D13,G12:G13,J12:J13)=0,"",IF(SUM(D12:D13)-SUM(G12:G13)-SUM(J12:J13)=0,"✔","✗"))</f>
        <v/>
      </c>
    </row>
    <row r="13">
      <c r="C13" s="8" t="n"/>
      <c r="D13" s="9" t="n"/>
      <c r="E13" s="10" t="inlineStr">
        <is>
          <t>=</t>
        </is>
      </c>
      <c r="F13" s="8" t="n"/>
      <c r="G13" s="9" t="n"/>
      <c r="H13" s="10" t="inlineStr">
        <is>
          <t>+</t>
        </is>
      </c>
      <c r="I13" s="8" t="n"/>
      <c r="J13" s="9" t="n"/>
    </row>
    <row r="14">
      <c r="A14" s="6" t="n">
        <v>5</v>
      </c>
      <c r="B14" s="7" t="inlineStr">
        <is>
          <t>Venda à vista de um caminhão por 50. Ele custou 180 e tinha 150 de depreciação acumulada</t>
        </is>
      </c>
      <c r="C14" s="8" t="n"/>
      <c r="D14" s="9" t="n"/>
      <c r="E14" s="10" t="inlineStr">
        <is>
          <t>=</t>
        </is>
      </c>
      <c r="F14" s="8" t="n"/>
      <c r="G14" s="9" t="n"/>
      <c r="H14" s="10" t="inlineStr">
        <is>
          <t>+</t>
        </is>
      </c>
      <c r="I14" s="8" t="n"/>
      <c r="J14" s="9" t="n"/>
      <c r="K14" s="6">
        <f>IF(COUNT(D14:D16,G14:G16,J14:J16)=0,"",IF(SUM(D14:D16)-SUM(G14:G16)-SUM(J14:J16)=0,"✔","✗"))</f>
        <v/>
      </c>
    </row>
    <row r="15">
      <c r="C15" s="8" t="n"/>
      <c r="D15" s="9" t="n"/>
      <c r="E15" s="10" t="inlineStr">
        <is>
          <t>=</t>
        </is>
      </c>
      <c r="F15" s="8" t="n"/>
      <c r="G15" s="9" t="n"/>
      <c r="H15" s="10" t="inlineStr">
        <is>
          <t>+</t>
        </is>
      </c>
      <c r="I15" s="8" t="n"/>
      <c r="J15" s="9" t="n"/>
    </row>
    <row r="16">
      <c r="C16" s="8" t="n"/>
      <c r="D16" s="9" t="n"/>
      <c r="E16" s="10" t="inlineStr">
        <is>
          <t>=</t>
        </is>
      </c>
      <c r="F16" s="8" t="n"/>
      <c r="G16" s="9" t="n"/>
      <c r="H16" s="10" t="inlineStr">
        <is>
          <t>+</t>
        </is>
      </c>
      <c r="I16" s="8" t="n"/>
      <c r="J16" s="9" t="n"/>
    </row>
    <row r="17">
      <c r="A17" s="6" t="n">
        <v>6</v>
      </c>
      <c r="B17" s="7" t="inlineStr">
        <is>
          <t>Venda à vista de outro caminhão por 25. Ele custou 120 e tinha 80 de depreciação acumulada</t>
        </is>
      </c>
      <c r="C17" s="8" t="n"/>
      <c r="D17" s="9" t="n"/>
      <c r="E17" s="10" t="inlineStr">
        <is>
          <t>=</t>
        </is>
      </c>
      <c r="F17" s="8" t="n"/>
      <c r="G17" s="9" t="n"/>
      <c r="H17" s="10" t="inlineStr">
        <is>
          <t>+</t>
        </is>
      </c>
      <c r="I17" s="8" t="n"/>
      <c r="J17" s="9" t="n"/>
      <c r="K17" s="6">
        <f>IF(COUNT(D17:D19,G17:G19,J17:J19)=0,"",IF(SUM(D17:D19)-SUM(G17:G19)-SUM(J17:J19)=0,"✔","✗"))</f>
        <v/>
      </c>
    </row>
    <row r="18">
      <c r="C18" s="8" t="n"/>
      <c r="D18" s="9" t="n"/>
      <c r="E18" s="10" t="inlineStr">
        <is>
          <t>=</t>
        </is>
      </c>
      <c r="F18" s="8" t="n"/>
      <c r="G18" s="9" t="n"/>
      <c r="H18" s="10" t="inlineStr">
        <is>
          <t>+</t>
        </is>
      </c>
      <c r="I18" s="8" t="n"/>
      <c r="J18" s="9" t="n"/>
    </row>
    <row r="19">
      <c r="C19" s="8" t="n"/>
      <c r="D19" s="9" t="n"/>
      <c r="E19" s="10" t="inlineStr">
        <is>
          <t>=</t>
        </is>
      </c>
      <c r="F19" s="8" t="n"/>
      <c r="G19" s="9" t="n"/>
      <c r="H19" s="10" t="inlineStr">
        <is>
          <t>+</t>
        </is>
      </c>
      <c r="I19" s="8" t="n"/>
      <c r="J19" s="9" t="n"/>
    </row>
    <row r="20">
      <c r="A20" s="6" t="n">
        <v>7</v>
      </c>
      <c r="B20" s="7" t="inlineStr">
        <is>
          <t>Compra de dois caminhões novos por 260, sendo 100 à vista e 160 financiados em longo prazo</t>
        </is>
      </c>
      <c r="C20" s="8" t="n"/>
      <c r="D20" s="9" t="n"/>
      <c r="E20" s="10" t="inlineStr">
        <is>
          <t>=</t>
        </is>
      </c>
      <c r="F20" s="8" t="n"/>
      <c r="G20" s="9" t="n"/>
      <c r="H20" s="10" t="inlineStr">
        <is>
          <t>+</t>
        </is>
      </c>
      <c r="I20" s="8" t="n"/>
      <c r="J20" s="9" t="n"/>
      <c r="K20" s="6">
        <f>IF(COUNT(D20:D21,G20:G21,J20:J21)=0,"",IF(SUM(D20:D21)-SUM(G20:G21)-SUM(J20:J21)=0,"✔","✗"))</f>
        <v/>
      </c>
    </row>
    <row r="21">
      <c r="C21" s="8" t="n"/>
      <c r="D21" s="9" t="n"/>
      <c r="E21" s="10" t="inlineStr">
        <is>
          <t>=</t>
        </is>
      </c>
      <c r="F21" s="8" t="n"/>
      <c r="G21" s="9" t="n"/>
      <c r="H21" s="10" t="inlineStr">
        <is>
          <t>+</t>
        </is>
      </c>
      <c r="I21" s="8" t="n"/>
      <c r="J21" s="9" t="n"/>
    </row>
    <row r="22">
      <c r="A22" s="6" t="n">
        <v>8</v>
      </c>
      <c r="B22" s="7" t="inlineStr">
        <is>
          <t>Depreciação da frota no ano: 70</t>
        </is>
      </c>
      <c r="C22" s="8" t="n"/>
      <c r="D22" s="9" t="n"/>
      <c r="E22" s="10" t="inlineStr">
        <is>
          <t>=</t>
        </is>
      </c>
      <c r="F22" s="8" t="n"/>
      <c r="G22" s="9" t="n"/>
      <c r="H22" s="10" t="inlineStr">
        <is>
          <t>+</t>
        </is>
      </c>
      <c r="I22" s="8" t="n"/>
      <c r="J22" s="9" t="n"/>
      <c r="K22" s="6">
        <f>IF(COUNT(D22:D23,G22:G23,J22:J23)=0,"",IF(SUM(D22:D23)-SUM(G22:G23)-SUM(J22:J23)=0,"✔","✗"))</f>
        <v/>
      </c>
    </row>
    <row r="23">
      <c r="C23" s="8" t="n"/>
      <c r="D23" s="9" t="n"/>
      <c r="E23" s="10" t="inlineStr">
        <is>
          <t>=</t>
        </is>
      </c>
      <c r="F23" s="8" t="n"/>
      <c r="G23" s="9" t="n"/>
      <c r="H23" s="10" t="inlineStr">
        <is>
          <t>+</t>
        </is>
      </c>
      <c r="I23" s="8" t="n"/>
      <c r="J23" s="9" t="n"/>
    </row>
    <row r="24">
      <c r="A24" s="6" t="n">
        <v>9</v>
      </c>
      <c r="B24" s="7" t="inlineStr">
        <is>
          <t>Baixa de 12 de peças obsoletas, de modelos que saíram da frota</t>
        </is>
      </c>
      <c r="C24" s="8" t="n"/>
      <c r="D24" s="9" t="n"/>
      <c r="E24" s="10" t="inlineStr">
        <is>
          <t>=</t>
        </is>
      </c>
      <c r="F24" s="8" t="n"/>
      <c r="G24" s="9" t="n"/>
      <c r="H24" s="10" t="inlineStr">
        <is>
          <t>+</t>
        </is>
      </c>
      <c r="I24" s="8" t="n"/>
      <c r="J24" s="9" t="n"/>
      <c r="K24" s="6">
        <f>IF(COUNT(D24:D25,G24:G25,J24:J25)=0,"",IF(SUM(D24:D25)-SUM(G24:G25)-SUM(J24:J25)=0,"✔","✗"))</f>
        <v/>
      </c>
    </row>
    <row r="25">
      <c r="C25" s="8" t="n"/>
      <c r="D25" s="9" t="n"/>
      <c r="E25" s="10" t="inlineStr">
        <is>
          <t>=</t>
        </is>
      </c>
      <c r="F25" s="8" t="n"/>
      <c r="G25" s="9" t="n"/>
      <c r="H25" s="10" t="inlineStr">
        <is>
          <t>+</t>
        </is>
      </c>
      <c r="I25" s="8" t="n"/>
      <c r="J25" s="9" t="n"/>
    </row>
    <row r="26">
      <c r="A26" s="6" t="n">
        <v>10</v>
      </c>
      <c r="B26" s="7" t="inlineStr">
        <is>
          <t>Constituição de provisão para devedores duvidosos: 18</t>
        </is>
      </c>
      <c r="C26" s="8" t="n"/>
      <c r="D26" s="9" t="n"/>
      <c r="E26" s="10" t="inlineStr">
        <is>
          <t>=</t>
        </is>
      </c>
      <c r="F26" s="8" t="n"/>
      <c r="G26" s="9" t="n"/>
      <c r="H26" s="10" t="inlineStr">
        <is>
          <t>+</t>
        </is>
      </c>
      <c r="I26" s="8" t="n"/>
      <c r="J26" s="9" t="n"/>
      <c r="K26" s="6">
        <f>IF(COUNT(D26:D27,G26:G27,J26:J27)=0,"",IF(SUM(D26:D27)-SUM(G26:G27)-SUM(J26:J27)=0,"✔","✗"))</f>
        <v/>
      </c>
    </row>
    <row r="27">
      <c r="C27" s="8" t="n"/>
      <c r="D27" s="9" t="n"/>
      <c r="E27" s="10" t="inlineStr">
        <is>
          <t>=</t>
        </is>
      </c>
      <c r="F27" s="8" t="n"/>
      <c r="G27" s="9" t="n"/>
      <c r="H27" s="10" t="inlineStr">
        <is>
          <t>+</t>
        </is>
      </c>
      <c r="I27" s="8" t="n"/>
      <c r="J27" s="9" t="n"/>
    </row>
    <row r="28">
      <c r="A28" s="6" t="n">
        <v>11</v>
      </c>
      <c r="B28" s="7" t="inlineStr">
        <is>
          <t>Baixa definitiva de um cliente incobrável de 14, consumindo a provisão já constituída</t>
        </is>
      </c>
      <c r="C28" s="8" t="n"/>
      <c r="D28" s="9" t="n"/>
      <c r="E28" s="10" t="inlineStr">
        <is>
          <t>=</t>
        </is>
      </c>
      <c r="F28" s="8" t="n"/>
      <c r="G28" s="9" t="n"/>
      <c r="H28" s="10" t="inlineStr">
        <is>
          <t>+</t>
        </is>
      </c>
      <c r="I28" s="8" t="n"/>
      <c r="J28" s="9" t="n"/>
      <c r="K28" s="6">
        <f>IF(COUNT(D28:D29,G28:G29,J28:J29)=0,"",IF(SUM(D28:D29)-SUM(G28:G29)-SUM(J28:J29)=0,"✔","✗"))</f>
        <v/>
      </c>
    </row>
    <row r="29">
      <c r="C29" s="8" t="n"/>
      <c r="D29" s="9" t="n"/>
      <c r="E29" s="10" t="inlineStr">
        <is>
          <t>=</t>
        </is>
      </c>
      <c r="F29" s="8" t="n"/>
      <c r="G29" s="9" t="n"/>
      <c r="H29" s="10" t="inlineStr">
        <is>
          <t>+</t>
        </is>
      </c>
      <c r="I29" s="8" t="n"/>
      <c r="J29" s="9" t="n"/>
    </row>
    <row r="30">
      <c r="A30" s="6" t="n">
        <v>12</v>
      </c>
      <c r="B30" s="7" t="inlineStr">
        <is>
          <t>Recebimento de 240 de clientes</t>
        </is>
      </c>
      <c r="C30" s="8" t="n"/>
      <c r="D30" s="9" t="n"/>
      <c r="E30" s="10" t="inlineStr">
        <is>
          <t>=</t>
        </is>
      </c>
      <c r="F30" s="8" t="n"/>
      <c r="G30" s="9" t="n"/>
      <c r="H30" s="10" t="inlineStr">
        <is>
          <t>+</t>
        </is>
      </c>
      <c r="I30" s="8" t="n"/>
      <c r="J30" s="9" t="n"/>
      <c r="K30" s="6">
        <f>IF(COUNT(D30:D31,G30:G31,J30:J31)=0,"",IF(SUM(D30:D31)-SUM(G30:G31)-SUM(J30:J31)=0,"✔","✗"))</f>
        <v/>
      </c>
    </row>
    <row r="31">
      <c r="C31" s="8" t="n"/>
      <c r="D31" s="9" t="n"/>
      <c r="E31" s="10" t="inlineStr">
        <is>
          <t>=</t>
        </is>
      </c>
      <c r="F31" s="8" t="n"/>
      <c r="G31" s="9" t="n"/>
      <c r="H31" s="10" t="inlineStr">
        <is>
          <t>+</t>
        </is>
      </c>
      <c r="I31" s="8" t="n"/>
      <c r="J31" s="9" t="n"/>
    </row>
    <row r="32">
      <c r="A32" s="6" t="n">
        <v>13</v>
      </c>
      <c r="B32" s="7" t="inlineStr">
        <is>
          <t>Pagamento de 95 a fornecedores</t>
        </is>
      </c>
      <c r="C32" s="8" t="n"/>
      <c r="D32" s="9" t="n"/>
      <c r="E32" s="10" t="inlineStr">
        <is>
          <t>=</t>
        </is>
      </c>
      <c r="F32" s="8" t="n"/>
      <c r="G32" s="9" t="n"/>
      <c r="H32" s="10" t="inlineStr">
        <is>
          <t>+</t>
        </is>
      </c>
      <c r="I32" s="8" t="n"/>
      <c r="J32" s="9" t="n"/>
      <c r="K32" s="6">
        <f>IF(COUNT(D32:D33,G32:G33,J32:J33)=0,"",IF(SUM(D32:D33)-SUM(G32:G33)-SUM(J32:J33)=0,"✔","✗"))</f>
        <v/>
      </c>
    </row>
    <row r="33">
      <c r="C33" s="8" t="n"/>
      <c r="D33" s="9" t="n"/>
      <c r="E33" s="10" t="inlineStr">
        <is>
          <t>=</t>
        </is>
      </c>
      <c r="F33" s="8" t="n"/>
      <c r="G33" s="9" t="n"/>
      <c r="H33" s="10" t="inlineStr">
        <is>
          <t>+</t>
        </is>
      </c>
      <c r="I33" s="8" t="n"/>
      <c r="J33" s="9" t="n"/>
    </row>
    <row r="34">
      <c r="A34" s="6" t="n">
        <v>14</v>
      </c>
      <c r="B34" s="7" t="inlineStr">
        <is>
          <t>Despesas administrativas do ano: 110, pagas à vista</t>
        </is>
      </c>
      <c r="C34" s="8" t="n"/>
      <c r="D34" s="9" t="n"/>
      <c r="E34" s="10" t="inlineStr">
        <is>
          <t>=</t>
        </is>
      </c>
      <c r="F34" s="8" t="n"/>
      <c r="G34" s="9" t="n"/>
      <c r="H34" s="10" t="inlineStr">
        <is>
          <t>+</t>
        </is>
      </c>
      <c r="I34" s="8" t="n"/>
      <c r="J34" s="9" t="n"/>
      <c r="K34" s="6">
        <f>IF(COUNT(D34:D35,G34:G35,J34:J35)=0,"",IF(SUM(D34:D35)-SUM(G34:G35)-SUM(J34:J35)=0,"✔","✗"))</f>
        <v/>
      </c>
    </row>
    <row r="35">
      <c r="C35" s="8" t="n"/>
      <c r="D35" s="9" t="n"/>
      <c r="E35" s="10" t="inlineStr">
        <is>
          <t>=</t>
        </is>
      </c>
      <c r="F35" s="8" t="n"/>
      <c r="G35" s="9" t="n"/>
      <c r="H35" s="10" t="inlineStr">
        <is>
          <t>+</t>
        </is>
      </c>
      <c r="I35" s="8" t="n"/>
      <c r="J35" s="9" t="n"/>
    </row>
    <row r="36">
      <c r="A36" s="6" t="n">
        <v>15</v>
      </c>
      <c r="B36" s="7" t="inlineStr">
        <is>
          <t>Pagamento de 20 de juros e amortização de 40 do principal da dívida</t>
        </is>
      </c>
      <c r="C36" s="8" t="n"/>
      <c r="D36" s="9" t="n"/>
      <c r="E36" s="10" t="inlineStr">
        <is>
          <t>=</t>
        </is>
      </c>
      <c r="F36" s="8" t="n"/>
      <c r="G36" s="9" t="n"/>
      <c r="H36" s="10" t="inlineStr">
        <is>
          <t>+</t>
        </is>
      </c>
      <c r="I36" s="8" t="n"/>
      <c r="J36" s="9" t="n"/>
      <c r="K36" s="6">
        <f>IF(COUNT(D36:D37,G36:G37,J36:J37)=0,"",IF(SUM(D36:D37)-SUM(G36:G37)-SUM(J36:J37)=0,"✔","✗"))</f>
        <v/>
      </c>
    </row>
    <row r="37">
      <c r="C37" s="8" t="n"/>
      <c r="D37" s="9" t="n"/>
      <c r="E37" s="10" t="inlineStr">
        <is>
          <t>=</t>
        </is>
      </c>
      <c r="F37" s="8" t="n"/>
      <c r="G37" s="9" t="n"/>
      <c r="H37" s="10" t="inlineStr">
        <is>
          <t>+</t>
        </is>
      </c>
      <c r="I37" s="8" t="n"/>
      <c r="J37" s="9" t="n"/>
    </row>
    <row r="38">
      <c r="A38" s="6" t="n">
        <v>16</v>
      </c>
      <c r="B38" s="7" t="inlineStr">
        <is>
          <t>IR e CSLL do ano: 33, pagos integralmente à vista</t>
        </is>
      </c>
      <c r="C38" s="8" t="n"/>
      <c r="D38" s="9" t="n"/>
      <c r="E38" s="10" t="inlineStr">
        <is>
          <t>=</t>
        </is>
      </c>
      <c r="F38" s="8" t="n"/>
      <c r="G38" s="9" t="n"/>
      <c r="H38" s="10" t="inlineStr">
        <is>
          <t>+</t>
        </is>
      </c>
      <c r="I38" s="8" t="n"/>
      <c r="J38" s="9" t="n"/>
      <c r="K38" s="6">
        <f>IF(COUNT(D38:D39,G38:G39,J38:J39)=0,"",IF(SUM(D38:D39)-SUM(G38:G39)-SUM(J38:J39)=0,"✔","✗"))</f>
        <v/>
      </c>
    </row>
    <row r="39">
      <c r="C39" s="8" t="n"/>
      <c r="D39" s="9" t="n"/>
      <c r="E39" s="10" t="inlineStr">
        <is>
          <t>=</t>
        </is>
      </c>
      <c r="F39" s="8" t="n"/>
      <c r="G39" s="9" t="n"/>
      <c r="H39" s="10" t="inlineStr">
        <is>
          <t>+</t>
        </is>
      </c>
      <c r="I39" s="8" t="n"/>
      <c r="J39" s="9" t="n"/>
    </row>
    <row r="40">
      <c r="A40" s="6" t="n">
        <v>17</v>
      </c>
      <c r="B40" s="7" t="inlineStr">
        <is>
          <t>Dividendos de 20 declarados e pagos em dinheiro</t>
        </is>
      </c>
      <c r="C40" s="8" t="n"/>
      <c r="D40" s="9" t="n"/>
      <c r="E40" s="10" t="inlineStr">
        <is>
          <t>=</t>
        </is>
      </c>
      <c r="F40" s="8" t="n"/>
      <c r="G40" s="9" t="n"/>
      <c r="H40" s="10" t="inlineStr">
        <is>
          <t>+</t>
        </is>
      </c>
      <c r="I40" s="8" t="n"/>
      <c r="J40" s="9" t="n"/>
      <c r="K40" s="6">
        <f>IF(COUNT(D40:D41,G40:G41,J40:J41)=0,"",IF(SUM(D40:D41)-SUM(G40:G41)-SUM(J40:J41)=0,"✔","✗"))</f>
        <v/>
      </c>
    </row>
    <row r="41">
      <c r="C41" s="8" t="n"/>
      <c r="D41" s="9" t="n"/>
      <c r="E41" s="10" t="inlineStr">
        <is>
          <t>=</t>
        </is>
      </c>
      <c r="F41" s="8" t="n"/>
      <c r="G41" s="9" t="n"/>
      <c r="H41" s="10" t="inlineStr">
        <is>
          <t>+</t>
        </is>
      </c>
      <c r="I41" s="8" t="n"/>
      <c r="J41" s="9" t="n"/>
    </row>
  </sheetData>
  <mergeCells count="55">
    <mergeCell ref="F4:G4"/>
    <mergeCell ref="K36:K37"/>
    <mergeCell ref="A24:A25"/>
    <mergeCell ref="K30:K31"/>
    <mergeCell ref="K32:K33"/>
    <mergeCell ref="K26:K27"/>
    <mergeCell ref="B12:B13"/>
    <mergeCell ref="A17:A19"/>
    <mergeCell ref="K17:K19"/>
    <mergeCell ref="B8:B9"/>
    <mergeCell ref="A36:A37"/>
    <mergeCell ref="A6:A7"/>
    <mergeCell ref="K14:K16"/>
    <mergeCell ref="A14:A16"/>
    <mergeCell ref="B38:B39"/>
    <mergeCell ref="C4:D4"/>
    <mergeCell ref="K22:K23"/>
    <mergeCell ref="A12:A13"/>
    <mergeCell ref="A26:A27"/>
    <mergeCell ref="K12:K13"/>
    <mergeCell ref="K40:K41"/>
    <mergeCell ref="B34:B35"/>
    <mergeCell ref="B10:B11"/>
    <mergeCell ref="B28:B29"/>
    <mergeCell ref="B6:B7"/>
    <mergeCell ref="B24:B25"/>
    <mergeCell ref="A40:A41"/>
    <mergeCell ref="A1:D1"/>
    <mergeCell ref="A32:A33"/>
    <mergeCell ref="A8:A9"/>
    <mergeCell ref="A22:A23"/>
    <mergeCell ref="B36:B37"/>
    <mergeCell ref="K8:K9"/>
    <mergeCell ref="A20:A21"/>
    <mergeCell ref="K38:K39"/>
    <mergeCell ref="B20:B21"/>
    <mergeCell ref="A10:A11"/>
    <mergeCell ref="B40:B41"/>
    <mergeCell ref="K34:K35"/>
    <mergeCell ref="B30:B31"/>
    <mergeCell ref="K10:K11"/>
    <mergeCell ref="K28:K29"/>
    <mergeCell ref="B17:B19"/>
    <mergeCell ref="I4:J4"/>
    <mergeCell ref="B32:B33"/>
    <mergeCell ref="A38:A39"/>
    <mergeCell ref="A34:A35"/>
    <mergeCell ref="B22:B23"/>
    <mergeCell ref="A28:A29"/>
    <mergeCell ref="B14:B16"/>
    <mergeCell ref="K6:K7"/>
    <mergeCell ref="K24:K25"/>
    <mergeCell ref="B26:B27"/>
    <mergeCell ref="K20:K21"/>
    <mergeCell ref="A30:A31"/>
  </mergeCells>
  <dataValidations count="3">
    <dataValidation sqref="C6 C7 C8 C9 C10 C11 C12 C13 C14 C15 C16 C17 C18 C19 C20 C21 C22 C23 C24 C25 C26 C27 C28 C29 C30 C31 C32 C33 C34 C35 C36 C37 C38 C39 C40 C41" showDropDown="0" showInputMessage="0" showErrorMessage="0" allowBlank="1" type="list">
      <formula1>"Caixa,Contas a Receber,(-) Provisão p/ Devedores Duvidosos,Estoque de Peças,Imobilizado (frota),(-) Depreciação Acumulada"</formula1>
    </dataValidation>
    <dataValidation sqref="F6 F7 F8 F9 F10 F11 F12 F13 F14 F15 F16 F17 F18 F19 F20 F21 F22 F23 F24 F25 F26 F27 F28 F29 F30 F31 F32 F33 F34 F35 F36 F37 F38 F39 F40 F41" showDropDown="0" showInputMessage="0" showErrorMessage="0" allowBlank="1" type="list">
      <formula1>"Fornecedores,Empréstimos,Financiamento a Pagar (LP)"</formula1>
    </dataValidation>
    <dataValidation sqref="I6 I7 I8 I9 I10 I11 I12 I13 I14 I15 I16 I17 I18 I19 I20 I21 I22 I23 I24 I25 I26 I27 I28 I29 I30 I31 I32 I33 I34 I35 I36 I37 I38 I39 I40 I41" showDropDown="0" showInputMessage="0" showErrorMessage="0" allowBlank="1" type="list">
      <formula1>"Capital Social,Lucros Acumulados"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W66"/>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4" customWidth="1" min="1" max="1"/>
    <col width="3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3" customWidth="1" min="22" max="22"/>
    <col width="13" customWidth="1" min="23" max="23"/>
  </cols>
  <sheetData>
    <row r="1">
      <c r="B1" s="1" t="inlineStr">
        <is>
          <t>Transportadora Rota Sul S.A.</t>
        </is>
      </c>
      <c r="D1" s="11" t="inlineStr">
        <is>
          <t>Transações, por Número e Descrição</t>
        </is>
      </c>
    </row>
    <row r="2" ht="42" customHeight="1">
      <c r="B2" s="2" t="inlineStr">
        <is>
          <t>Ano 4  |  valores em R$ mil</t>
        </is>
      </c>
      <c r="D2" s="12" t="inlineStr">
        <is>
          <t>Receita de fretes do ano: 920, sendo 620 recebidos à vista e</t>
        </is>
      </c>
      <c r="E2" s="12" t="inlineStr">
        <is>
          <t>Consumo de 45 de peças da oficina nas manutenções da frota</t>
        </is>
      </c>
      <c r="F2" s="12" t="inlineStr">
        <is>
          <t>Custos de operação pagos à vista (combustível, pedágio e sal</t>
        </is>
      </c>
      <c r="G2" s="12" t="inlineStr">
        <is>
          <t>Compra de peças de reposição por 60, integralmente a prazo</t>
        </is>
      </c>
      <c r="H2" s="12" t="inlineStr">
        <is>
          <t xml:space="preserve">Venda à vista de um caminhão por 50. Ele custou 180 e tinha </t>
        </is>
      </c>
      <c r="I2" s="12" t="inlineStr">
        <is>
          <t>Venda à vista de outro caminhão por 25. Ele custou 120 e tin</t>
        </is>
      </c>
      <c r="J2" s="12" t="inlineStr">
        <is>
          <t xml:space="preserve">Compra de dois caminhões novos por 260, sendo 100 à vista e </t>
        </is>
      </c>
      <c r="K2" s="12" t="inlineStr">
        <is>
          <t>Depreciação da frota no ano: 70</t>
        </is>
      </c>
      <c r="L2" s="12" t="inlineStr">
        <is>
          <t>Baixa de 12 de peças obsoletas, de modelos que saíram da fro</t>
        </is>
      </c>
      <c r="M2" s="12" t="inlineStr">
        <is>
          <t>Constituição de provisão para devedores duvidosos: 18</t>
        </is>
      </c>
      <c r="N2" s="12" t="inlineStr">
        <is>
          <t xml:space="preserve">Baixa definitiva de um cliente incobrável de 14, consumindo </t>
        </is>
      </c>
      <c r="O2" s="12" t="inlineStr">
        <is>
          <t>Recebimento de 240 de clientes</t>
        </is>
      </c>
      <c r="P2" s="12" t="inlineStr">
        <is>
          <t>Pagamento de 95 a fornecedores</t>
        </is>
      </c>
      <c r="Q2" s="12" t="inlineStr">
        <is>
          <t>Despesas administrativas do ano: 110, pagas à vista</t>
        </is>
      </c>
      <c r="R2" s="12" t="inlineStr">
        <is>
          <t>Pagamento de 20 de juros e amortização de 40 do principal da</t>
        </is>
      </c>
      <c r="S2" s="12" t="inlineStr">
        <is>
          <t>IR e CSLL do ano: 33, pagos integralmente à vista</t>
        </is>
      </c>
      <c r="T2" s="12" t="inlineStr">
        <is>
          <t>Dividendos de 20 declarados e pagos em dinheiro</t>
        </is>
      </c>
    </row>
    <row r="3">
      <c r="B3" s="13" t="inlineStr">
        <is>
          <t>Balanço Patrimonial</t>
        </is>
      </c>
      <c r="C3" s="13" t="inlineStr">
        <is>
          <t>Balanço Inicial</t>
        </is>
      </c>
      <c r="D3" s="3" t="n">
        <v>1</v>
      </c>
      <c r="E3" s="3" t="n">
        <v>2</v>
      </c>
      <c r="F3" s="3" t="n">
        <v>3</v>
      </c>
      <c r="G3" s="3" t="n">
        <v>4</v>
      </c>
      <c r="H3" s="3" t="n">
        <v>5</v>
      </c>
      <c r="I3" s="3" t="n">
        <v>6</v>
      </c>
      <c r="J3" s="3" t="n">
        <v>7</v>
      </c>
      <c r="K3" s="3" t="n">
        <v>8</v>
      </c>
      <c r="L3" s="3" t="n">
        <v>9</v>
      </c>
      <c r="M3" s="3" t="n">
        <v>10</v>
      </c>
      <c r="N3" s="3" t="n">
        <v>11</v>
      </c>
      <c r="O3" s="3" t="n">
        <v>12</v>
      </c>
      <c r="P3" s="3" t="n">
        <v>13</v>
      </c>
      <c r="Q3" s="3" t="n">
        <v>14</v>
      </c>
      <c r="R3" s="3" t="n">
        <v>15</v>
      </c>
      <c r="S3" s="3" t="n">
        <v>16</v>
      </c>
      <c r="T3" s="3" t="n">
        <v>17</v>
      </c>
      <c r="U3" s="13" t="inlineStr">
        <is>
          <t>Balanço Final</t>
        </is>
      </c>
    </row>
    <row r="4">
      <c r="B4" s="14" t="inlineStr">
        <is>
          <t>ATIVO</t>
        </is>
      </c>
    </row>
    <row r="5">
      <c r="B5" s="15" t="inlineStr">
        <is>
          <t>Ativo Circulante</t>
        </is>
      </c>
    </row>
    <row r="6">
      <c r="B6" t="inlineStr">
        <is>
          <t>Caixa</t>
        </is>
      </c>
      <c r="C6" s="16" t="n">
        <v>60</v>
      </c>
      <c r="D6" s="9" t="n"/>
      <c r="E6" s="9" t="n"/>
      <c r="F6" s="9" t="n"/>
      <c r="G6" s="9" t="n"/>
      <c r="H6" s="9" t="n"/>
      <c r="I6" s="9" t="n"/>
      <c r="J6" s="9" t="n"/>
      <c r="K6" s="9" t="n"/>
      <c r="L6" s="9" t="n"/>
      <c r="M6" s="9" t="n"/>
      <c r="N6" s="9" t="n"/>
      <c r="O6" s="9" t="n"/>
      <c r="P6" s="9" t="n"/>
      <c r="Q6" s="9" t="n"/>
      <c r="R6" s="9" t="n"/>
      <c r="S6" s="9" t="n"/>
      <c r="T6" s="9" t="n"/>
      <c r="U6" s="17">
        <f>C6+SUM(D6:T6)</f>
        <v/>
      </c>
      <c r="W6" s="18">
        <f>IF(COUNT(D6:T6)=0,"",IF(ABS(U6-Gabarito!U6)&lt;0.5,"✔","✗"))</f>
        <v/>
      </c>
    </row>
    <row r="7">
      <c r="B7" t="inlineStr">
        <is>
          <t>Contas a Receber</t>
        </is>
      </c>
      <c r="C7" s="16" t="n">
        <v>200</v>
      </c>
      <c r="D7" s="9" t="n"/>
      <c r="E7" s="9" t="n"/>
      <c r="F7" s="9" t="n"/>
      <c r="G7" s="9" t="n"/>
      <c r="H7" s="9" t="n"/>
      <c r="I7" s="9" t="n"/>
      <c r="J7" s="9" t="n"/>
      <c r="K7" s="9" t="n"/>
      <c r="L7" s="9" t="n"/>
      <c r="M7" s="9" t="n"/>
      <c r="N7" s="9" t="n"/>
      <c r="O7" s="9" t="n"/>
      <c r="P7" s="9" t="n"/>
      <c r="Q7" s="9" t="n"/>
      <c r="R7" s="9" t="n"/>
      <c r="S7" s="9" t="n"/>
      <c r="T7" s="9" t="n"/>
      <c r="U7" s="17">
        <f>C7+SUM(D7:T7)</f>
        <v/>
      </c>
      <c r="W7" s="18">
        <f>IF(COUNT(D7:T7)=0,"",IF(ABS(U7-Gabarito!U7)&lt;0.5,"✔","✗"))</f>
        <v/>
      </c>
    </row>
    <row r="8">
      <c r="B8" t="inlineStr">
        <is>
          <t>(-) Provisão p/ Devedores Duvidosos</t>
        </is>
      </c>
      <c r="C8" s="16" t="n">
        <v>-10</v>
      </c>
      <c r="D8" s="9" t="n"/>
      <c r="E8" s="9" t="n"/>
      <c r="F8" s="9" t="n"/>
      <c r="G8" s="9" t="n"/>
      <c r="H8" s="9" t="n"/>
      <c r="I8" s="9" t="n"/>
      <c r="J8" s="9" t="n"/>
      <c r="K8" s="9" t="n"/>
      <c r="L8" s="9" t="n"/>
      <c r="M8" s="9" t="n"/>
      <c r="N8" s="9" t="n"/>
      <c r="O8" s="9" t="n"/>
      <c r="P8" s="9" t="n"/>
      <c r="Q8" s="9" t="n"/>
      <c r="R8" s="9" t="n"/>
      <c r="S8" s="9" t="n"/>
      <c r="T8" s="9" t="n"/>
      <c r="U8" s="17">
        <f>C8+SUM(D8:T8)</f>
        <v/>
      </c>
      <c r="W8" s="18">
        <f>IF(COUNT(D8:T8)=0,"",IF(ABS(U8-Gabarito!U8)&lt;0.5,"✔","✗"))</f>
        <v/>
      </c>
    </row>
    <row r="9">
      <c r="B9" t="inlineStr">
        <is>
          <t>Estoque de Peças</t>
        </is>
      </c>
      <c r="C9" s="16" t="n">
        <v>70</v>
      </c>
      <c r="D9" s="9" t="n"/>
      <c r="E9" s="9" t="n"/>
      <c r="F9" s="9" t="n"/>
      <c r="G9" s="9" t="n"/>
      <c r="H9" s="9" t="n"/>
      <c r="I9" s="9" t="n"/>
      <c r="J9" s="9" t="n"/>
      <c r="K9" s="9" t="n"/>
      <c r="L9" s="9" t="n"/>
      <c r="M9" s="9" t="n"/>
      <c r="N9" s="9" t="n"/>
      <c r="O9" s="9" t="n"/>
      <c r="P9" s="9" t="n"/>
      <c r="Q9" s="9" t="n"/>
      <c r="R9" s="9" t="n"/>
      <c r="S9" s="9" t="n"/>
      <c r="T9" s="9" t="n"/>
      <c r="U9" s="17">
        <f>C9+SUM(D9:T9)</f>
        <v/>
      </c>
      <c r="W9" s="18">
        <f>IF(COUNT(D9:T9)=0,"",IF(ABS(U9-Gabarito!U9)&lt;0.5,"✔","✗"))</f>
        <v/>
      </c>
    </row>
    <row r="10">
      <c r="B10" s="15" t="inlineStr">
        <is>
          <t>Ativo Não Circulante</t>
        </is>
      </c>
    </row>
    <row r="11">
      <c r="B11" t="inlineStr">
        <is>
          <t>Imobilizado (frota)</t>
        </is>
      </c>
      <c r="C11" s="16" t="n">
        <v>600</v>
      </c>
      <c r="D11" s="9" t="n"/>
      <c r="E11" s="9" t="n"/>
      <c r="F11" s="9" t="n"/>
      <c r="G11" s="9" t="n"/>
      <c r="H11" s="9" t="n"/>
      <c r="I11" s="9" t="n"/>
      <c r="J11" s="9" t="n"/>
      <c r="K11" s="9" t="n"/>
      <c r="L11" s="9" t="n"/>
      <c r="M11" s="9" t="n"/>
      <c r="N11" s="9" t="n"/>
      <c r="O11" s="9" t="n"/>
      <c r="P11" s="9" t="n"/>
      <c r="Q11" s="9" t="n"/>
      <c r="R11" s="9" t="n"/>
      <c r="S11" s="9" t="n"/>
      <c r="T11" s="9" t="n"/>
      <c r="U11" s="17">
        <f>C11+SUM(D11:T11)</f>
        <v/>
      </c>
      <c r="W11" s="18">
        <f>IF(COUNT(D11:T11)=0,"",IF(ABS(U11-Gabarito!U11)&lt;0.5,"✔","✗"))</f>
        <v/>
      </c>
    </row>
    <row r="12">
      <c r="B12" t="inlineStr">
        <is>
          <t>(-) Depreciação Acumulada</t>
        </is>
      </c>
      <c r="C12" s="16" t="n">
        <v>-240</v>
      </c>
      <c r="D12" s="9" t="n"/>
      <c r="E12" s="9" t="n"/>
      <c r="F12" s="9" t="n"/>
      <c r="G12" s="9" t="n"/>
      <c r="H12" s="9" t="n"/>
      <c r="I12" s="9" t="n"/>
      <c r="J12" s="9" t="n"/>
      <c r="K12" s="9" t="n"/>
      <c r="L12" s="9" t="n"/>
      <c r="M12" s="9" t="n"/>
      <c r="N12" s="9" t="n"/>
      <c r="O12" s="9" t="n"/>
      <c r="P12" s="9" t="n"/>
      <c r="Q12" s="9" t="n"/>
      <c r="R12" s="9" t="n"/>
      <c r="S12" s="9" t="n"/>
      <c r="T12" s="9" t="n"/>
      <c r="U12" s="17">
        <f>C12+SUM(D12:T12)</f>
        <v/>
      </c>
      <c r="W12" s="18">
        <f>IF(COUNT(D12:T12)=0,"",IF(ABS(U12-Gabarito!U12)&lt;0.5,"✔","✗"))</f>
        <v/>
      </c>
    </row>
    <row r="13">
      <c r="B13" s="19" t="inlineStr">
        <is>
          <t xml:space="preserve">  Total do Ativo</t>
        </is>
      </c>
      <c r="C13" s="20">
        <f>SUM(C6:C12)</f>
        <v/>
      </c>
      <c r="D13" s="20">
        <f>SUM(D6:D12)</f>
        <v/>
      </c>
      <c r="E13" s="20">
        <f>SUM(E6:E12)</f>
        <v/>
      </c>
      <c r="F13" s="20">
        <f>SUM(F6:F12)</f>
        <v/>
      </c>
      <c r="G13" s="20">
        <f>SUM(G6:G12)</f>
        <v/>
      </c>
      <c r="H13" s="20">
        <f>SUM(H6:H12)</f>
        <v/>
      </c>
      <c r="I13" s="20">
        <f>SUM(I6:I12)</f>
        <v/>
      </c>
      <c r="J13" s="20">
        <f>SUM(J6:J12)</f>
        <v/>
      </c>
      <c r="K13" s="20">
        <f>SUM(K6:K12)</f>
        <v/>
      </c>
      <c r="L13" s="20">
        <f>SUM(L6:L12)</f>
        <v/>
      </c>
      <c r="M13" s="20">
        <f>SUM(M6:M12)</f>
        <v/>
      </c>
      <c r="N13" s="20">
        <f>SUM(N6:N12)</f>
        <v/>
      </c>
      <c r="O13" s="20">
        <f>SUM(O6:O12)</f>
        <v/>
      </c>
      <c r="P13" s="20">
        <f>SUM(P6:P12)</f>
        <v/>
      </c>
      <c r="Q13" s="20">
        <f>SUM(Q6:Q12)</f>
        <v/>
      </c>
      <c r="R13" s="20">
        <f>SUM(R6:R12)</f>
        <v/>
      </c>
      <c r="S13" s="20">
        <f>SUM(S6:S12)</f>
        <v/>
      </c>
      <c r="T13" s="20">
        <f>SUM(T6:T12)</f>
        <v/>
      </c>
      <c r="U13" s="20">
        <f>SUM(U6:U12)</f>
        <v/>
      </c>
    </row>
    <row r="14">
      <c r="B14" s="14" t="inlineStr">
        <is>
          <t>PASSIVO E PATRIM. LÍQUIDO</t>
        </is>
      </c>
    </row>
    <row r="15">
      <c r="B15" s="15" t="inlineStr">
        <is>
          <t>Passivo Circulante:</t>
        </is>
      </c>
    </row>
    <row r="16">
      <c r="B16" t="inlineStr">
        <is>
          <t>Fornecedores</t>
        </is>
      </c>
      <c r="C16" s="16" t="n">
        <v>80</v>
      </c>
      <c r="D16" s="9" t="n"/>
      <c r="E16" s="9" t="n"/>
      <c r="F16" s="9" t="n"/>
      <c r="G16" s="9" t="n"/>
      <c r="H16" s="9" t="n"/>
      <c r="I16" s="9" t="n"/>
      <c r="J16" s="9" t="n"/>
      <c r="K16" s="9" t="n"/>
      <c r="L16" s="9" t="n"/>
      <c r="M16" s="9" t="n"/>
      <c r="N16" s="9" t="n"/>
      <c r="O16" s="9" t="n"/>
      <c r="P16" s="9" t="n"/>
      <c r="Q16" s="9" t="n"/>
      <c r="R16" s="9" t="n"/>
      <c r="S16" s="9" t="n"/>
      <c r="T16" s="9" t="n"/>
      <c r="U16" s="17">
        <f>C16+SUM(D16:T16)</f>
        <v/>
      </c>
      <c r="W16" s="18">
        <f>IF(COUNT(D16:T16)=0,"",IF(ABS(U16-Gabarito!U16)&lt;0.5,"✔","✗"))</f>
        <v/>
      </c>
    </row>
    <row r="17">
      <c r="B17" t="inlineStr">
        <is>
          <t>Empréstimos</t>
        </is>
      </c>
      <c r="C17" s="16" t="n">
        <v>200</v>
      </c>
      <c r="D17" s="9" t="n"/>
      <c r="E17" s="9" t="n"/>
      <c r="F17" s="9" t="n"/>
      <c r="G17" s="9" t="n"/>
      <c r="H17" s="9" t="n"/>
      <c r="I17" s="9" t="n"/>
      <c r="J17" s="9" t="n"/>
      <c r="K17" s="9" t="n"/>
      <c r="L17" s="9" t="n"/>
      <c r="M17" s="9" t="n"/>
      <c r="N17" s="9" t="n"/>
      <c r="O17" s="9" t="n"/>
      <c r="P17" s="9" t="n"/>
      <c r="Q17" s="9" t="n"/>
      <c r="R17" s="9" t="n"/>
      <c r="S17" s="9" t="n"/>
      <c r="T17" s="9" t="n"/>
      <c r="U17" s="17">
        <f>C17+SUM(D17:T17)</f>
        <v/>
      </c>
      <c r="W17" s="18">
        <f>IF(COUNT(D17:T17)=0,"",IF(ABS(U17-Gabarito!U17)&lt;0.5,"✔","✗"))</f>
        <v/>
      </c>
    </row>
    <row r="18">
      <c r="B18" s="15" t="inlineStr">
        <is>
          <t>Passivo Não Circulante:</t>
        </is>
      </c>
    </row>
    <row r="19">
      <c r="B19" t="inlineStr">
        <is>
          <t>Financiamento a Pagar (LP)</t>
        </is>
      </c>
      <c r="C19" s="16" t="n"/>
      <c r="D19" s="9" t="n"/>
      <c r="E19" s="9" t="n"/>
      <c r="F19" s="9" t="n"/>
      <c r="G19" s="9" t="n"/>
      <c r="H19" s="9" t="n"/>
      <c r="I19" s="9" t="n"/>
      <c r="J19" s="9" t="n"/>
      <c r="K19" s="9" t="n"/>
      <c r="L19" s="9" t="n"/>
      <c r="M19" s="9" t="n"/>
      <c r="N19" s="9" t="n"/>
      <c r="O19" s="9" t="n"/>
      <c r="P19" s="9" t="n"/>
      <c r="Q19" s="9" t="n"/>
      <c r="R19" s="9" t="n"/>
      <c r="S19" s="9" t="n"/>
      <c r="T19" s="9" t="n"/>
      <c r="U19" s="17">
        <f>C19+SUM(D19:T19)</f>
        <v/>
      </c>
      <c r="W19" s="18">
        <f>IF(COUNT(D19:T19)=0,"",IF(ABS(U19-Gabarito!U19)&lt;0.5,"✔","✗"))</f>
        <v/>
      </c>
    </row>
    <row r="20">
      <c r="B20" s="15" t="inlineStr">
        <is>
          <t>Patrimônio Líquido:</t>
        </is>
      </c>
    </row>
    <row r="21">
      <c r="B21" t="inlineStr">
        <is>
          <t>Capital Social</t>
        </is>
      </c>
      <c r="C21" s="16" t="n">
        <v>300</v>
      </c>
      <c r="D21" s="9" t="n"/>
      <c r="E21" s="9" t="n"/>
      <c r="F21" s="9" t="n"/>
      <c r="G21" s="9" t="n"/>
      <c r="H21" s="9" t="n"/>
      <c r="I21" s="9" t="n"/>
      <c r="J21" s="9" t="n"/>
      <c r="K21" s="9" t="n"/>
      <c r="L21" s="9" t="n"/>
      <c r="M21" s="9" t="n"/>
      <c r="N21" s="9" t="n"/>
      <c r="O21" s="9" t="n"/>
      <c r="P21" s="9" t="n"/>
      <c r="Q21" s="9" t="n"/>
      <c r="R21" s="9" t="n"/>
      <c r="S21" s="9" t="n"/>
      <c r="T21" s="9" t="n"/>
      <c r="U21" s="17">
        <f>C21+SUM(D21:T21)</f>
        <v/>
      </c>
      <c r="W21" s="18">
        <f>IF(COUNT(D21:T21)=0,"",IF(ABS(U21-Gabarito!U21)&lt;0.5,"✔","✗"))</f>
        <v/>
      </c>
    </row>
    <row r="22">
      <c r="B22" t="inlineStr">
        <is>
          <t>Lucros Acumulados</t>
        </is>
      </c>
      <c r="C22" s="16" t="n">
        <v>100</v>
      </c>
      <c r="D22" s="9" t="n"/>
      <c r="E22" s="9" t="n"/>
      <c r="F22" s="9" t="n"/>
      <c r="G22" s="9" t="n"/>
      <c r="H22" s="9" t="n"/>
      <c r="I22" s="9" t="n"/>
      <c r="J22" s="9" t="n"/>
      <c r="K22" s="9" t="n"/>
      <c r="L22" s="9" t="n"/>
      <c r="M22" s="9" t="n"/>
      <c r="N22" s="9" t="n"/>
      <c r="O22" s="9" t="n"/>
      <c r="P22" s="9" t="n"/>
      <c r="Q22" s="9" t="n"/>
      <c r="R22" s="9" t="n"/>
      <c r="S22" s="9" t="n"/>
      <c r="T22" s="9" t="n"/>
      <c r="U22" s="17">
        <f>C22+SUM(D22:T22)</f>
        <v/>
      </c>
      <c r="W22" s="18">
        <f>IF(COUNT(D22:T22)=0,"",IF(ABS(U22-Gabarito!U22)&lt;0.5,"✔","✗"))</f>
        <v/>
      </c>
    </row>
    <row r="23">
      <c r="B23" s="19" t="inlineStr">
        <is>
          <t>Total Passivo e Patrim. Líquido</t>
        </is>
      </c>
      <c r="C23" s="20">
        <f>SUM(C15:C22)</f>
        <v/>
      </c>
      <c r="D23" s="20">
        <f>SUM(D15:D22)</f>
        <v/>
      </c>
      <c r="E23" s="20">
        <f>SUM(E15:E22)</f>
        <v/>
      </c>
      <c r="F23" s="20">
        <f>SUM(F15:F22)</f>
        <v/>
      </c>
      <c r="G23" s="20">
        <f>SUM(G15:G22)</f>
        <v/>
      </c>
      <c r="H23" s="20">
        <f>SUM(H15:H22)</f>
        <v/>
      </c>
      <c r="I23" s="20">
        <f>SUM(I15:I22)</f>
        <v/>
      </c>
      <c r="J23" s="20">
        <f>SUM(J15:J22)</f>
        <v/>
      </c>
      <c r="K23" s="20">
        <f>SUM(K15:K22)</f>
        <v/>
      </c>
      <c r="L23" s="20">
        <f>SUM(L15:L22)</f>
        <v/>
      </c>
      <c r="M23" s="20">
        <f>SUM(M15:M22)</f>
        <v/>
      </c>
      <c r="N23" s="20">
        <f>SUM(N15:N22)</f>
        <v/>
      </c>
      <c r="O23" s="20">
        <f>SUM(O15:O22)</f>
        <v/>
      </c>
      <c r="P23" s="20">
        <f>SUM(P15:P22)</f>
        <v/>
      </c>
      <c r="Q23" s="20">
        <f>SUM(Q15:Q22)</f>
        <v/>
      </c>
      <c r="R23" s="20">
        <f>SUM(R15:R22)</f>
        <v/>
      </c>
      <c r="S23" s="20">
        <f>SUM(S15:S22)</f>
        <v/>
      </c>
      <c r="T23" s="20">
        <f>SUM(T15:T22)</f>
        <v/>
      </c>
      <c r="U23" s="20">
        <f>SUM(U15:U22)</f>
        <v/>
      </c>
    </row>
    <row r="25">
      <c r="B25" s="21" t="inlineStr">
        <is>
          <t>Diferença, se houver (tem que dar zero)</t>
        </is>
      </c>
      <c r="C25" s="17">
        <f>C13-C23</f>
        <v/>
      </c>
      <c r="D25" s="17">
        <f>D13-D23</f>
        <v/>
      </c>
      <c r="E25" s="17">
        <f>E13-E23</f>
        <v/>
      </c>
      <c r="F25" s="17">
        <f>F13-F23</f>
        <v/>
      </c>
      <c r="G25" s="17">
        <f>G13-G23</f>
        <v/>
      </c>
      <c r="H25" s="17">
        <f>H13-H23</f>
        <v/>
      </c>
      <c r="I25" s="17">
        <f>I13-I23</f>
        <v/>
      </c>
      <c r="J25" s="17">
        <f>J13-J23</f>
        <v/>
      </c>
      <c r="K25" s="17">
        <f>K13-K23</f>
        <v/>
      </c>
      <c r="L25" s="17">
        <f>L13-L23</f>
        <v/>
      </c>
      <c r="M25" s="17">
        <f>M13-M23</f>
        <v/>
      </c>
      <c r="N25" s="17">
        <f>N13-N23</f>
        <v/>
      </c>
      <c r="O25" s="17">
        <f>O13-O23</f>
        <v/>
      </c>
      <c r="P25" s="17">
        <f>P13-P23</f>
        <v/>
      </c>
      <c r="Q25" s="17">
        <f>Q13-Q23</f>
        <v/>
      </c>
      <c r="R25" s="17">
        <f>R13-R23</f>
        <v/>
      </c>
      <c r="S25" s="17">
        <f>S13-S23</f>
        <v/>
      </c>
      <c r="T25" s="17">
        <f>T13-T23</f>
        <v/>
      </c>
      <c r="U25" s="17">
        <f>U13-U23</f>
        <v/>
      </c>
      <c r="W25" s="19">
        <f>IF(U25=0,"✔ fecha","✗ não fecha")</f>
        <v/>
      </c>
    </row>
    <row r="27">
      <c r="B27" s="13" t="inlineStr">
        <is>
          <t>Demonstração do Resultado</t>
        </is>
      </c>
      <c r="D27" s="3" t="n">
        <v>1</v>
      </c>
      <c r="E27" s="3" t="n">
        <v>2</v>
      </c>
      <c r="F27" s="3" t="n">
        <v>3</v>
      </c>
      <c r="G27" s="3" t="n">
        <v>4</v>
      </c>
      <c r="H27" s="3" t="n">
        <v>5</v>
      </c>
      <c r="I27" s="3" t="n">
        <v>6</v>
      </c>
      <c r="J27" s="3" t="n">
        <v>7</v>
      </c>
      <c r="K27" s="3" t="n">
        <v>8</v>
      </c>
      <c r="L27" s="3" t="n">
        <v>9</v>
      </c>
      <c r="M27" s="3" t="n">
        <v>10</v>
      </c>
      <c r="N27" s="3" t="n">
        <v>11</v>
      </c>
      <c r="O27" s="3" t="n">
        <v>12</v>
      </c>
      <c r="P27" s="3" t="n">
        <v>13</v>
      </c>
      <c r="Q27" s="3" t="n">
        <v>14</v>
      </c>
      <c r="R27" s="3" t="n">
        <v>15</v>
      </c>
      <c r="S27" s="3" t="n">
        <v>16</v>
      </c>
      <c r="T27" s="3" t="n">
        <v>17</v>
      </c>
      <c r="U27" s="13" t="inlineStr">
        <is>
          <t>Ano 4</t>
        </is>
      </c>
      <c r="W27" s="22" t="inlineStr">
        <is>
          <t>Check</t>
        </is>
      </c>
    </row>
    <row r="28">
      <c r="B28" t="inlineStr">
        <is>
          <t>Receita de Fretes</t>
        </is>
      </c>
      <c r="D28" s="9" t="n"/>
      <c r="E28" s="9" t="n"/>
      <c r="F28" s="9" t="n"/>
      <c r="G28" s="9" t="n"/>
      <c r="H28" s="9" t="n"/>
      <c r="I28" s="9" t="n"/>
      <c r="J28" s="9" t="n"/>
      <c r="K28" s="9" t="n"/>
      <c r="L28" s="9" t="n"/>
      <c r="M28" s="9" t="n"/>
      <c r="N28" s="9" t="n"/>
      <c r="O28" s="9" t="n"/>
      <c r="P28" s="9" t="n"/>
      <c r="Q28" s="9" t="n"/>
      <c r="R28" s="9" t="n"/>
      <c r="S28" s="9" t="n"/>
      <c r="T28" s="9" t="n"/>
      <c r="U28" s="17">
        <f>SUM(D28:T28)</f>
        <v/>
      </c>
      <c r="W28" s="18">
        <f>IF(COUNT(D28:T28)=0,"",IF(ABS(U28-Gabarito!U28)&lt;0.5,"✔","✗"))</f>
        <v/>
      </c>
    </row>
    <row r="29">
      <c r="B29" t="inlineStr">
        <is>
          <t>(-) Custo dos Serviços Prestados</t>
        </is>
      </c>
      <c r="D29" s="9" t="n"/>
      <c r="E29" s="9" t="n"/>
      <c r="F29" s="9" t="n"/>
      <c r="G29" s="9" t="n"/>
      <c r="H29" s="9" t="n"/>
      <c r="I29" s="9" t="n"/>
      <c r="J29" s="9" t="n"/>
      <c r="K29" s="9" t="n"/>
      <c r="L29" s="9" t="n"/>
      <c r="M29" s="9" t="n"/>
      <c r="N29" s="9" t="n"/>
      <c r="O29" s="9" t="n"/>
      <c r="P29" s="9" t="n"/>
      <c r="Q29" s="9" t="n"/>
      <c r="R29" s="9" t="n"/>
      <c r="S29" s="9" t="n"/>
      <c r="T29" s="9" t="n"/>
      <c r="U29" s="17">
        <f>SUM(D29:T29)</f>
        <v/>
      </c>
      <c r="W29" s="18">
        <f>IF(COUNT(D29:T29)=0,"",IF(ABS(U29-Gabarito!U29)&lt;0.5,"✔","✗"))</f>
        <v/>
      </c>
    </row>
    <row r="30">
      <c r="B30" s="19" t="inlineStr">
        <is>
          <t xml:space="preserve">     (=) Lucro Bruto</t>
        </is>
      </c>
      <c r="D30" s="20">
        <f>SUM(D28:D29)</f>
        <v/>
      </c>
      <c r="E30" s="20">
        <f>SUM(E28:E29)</f>
        <v/>
      </c>
      <c r="F30" s="20">
        <f>SUM(F28:F29)</f>
        <v/>
      </c>
      <c r="G30" s="20">
        <f>SUM(G28:G29)</f>
        <v/>
      </c>
      <c r="H30" s="20">
        <f>SUM(H28:H29)</f>
        <v/>
      </c>
      <c r="I30" s="20">
        <f>SUM(I28:I29)</f>
        <v/>
      </c>
      <c r="J30" s="20">
        <f>SUM(J28:J29)</f>
        <v/>
      </c>
      <c r="K30" s="20">
        <f>SUM(K28:K29)</f>
        <v/>
      </c>
      <c r="L30" s="20">
        <f>SUM(L28:L29)</f>
        <v/>
      </c>
      <c r="M30" s="20">
        <f>SUM(M28:M29)</f>
        <v/>
      </c>
      <c r="N30" s="20">
        <f>SUM(N28:N29)</f>
        <v/>
      </c>
      <c r="O30" s="20">
        <f>SUM(O28:O29)</f>
        <v/>
      </c>
      <c r="P30" s="20">
        <f>SUM(P28:P29)</f>
        <v/>
      </c>
      <c r="Q30" s="20">
        <f>SUM(Q28:Q29)</f>
        <v/>
      </c>
      <c r="R30" s="20">
        <f>SUM(R28:R29)</f>
        <v/>
      </c>
      <c r="S30" s="20">
        <f>SUM(S28:S29)</f>
        <v/>
      </c>
      <c r="T30" s="20">
        <f>SUM(T28:T29)</f>
        <v/>
      </c>
      <c r="U30" s="20">
        <f>SUM(U28:U29)</f>
        <v/>
      </c>
    </row>
    <row r="31">
      <c r="B31" t="inlineStr">
        <is>
          <t>(-) Despesas Administrativas</t>
        </is>
      </c>
      <c r="D31" s="9" t="n"/>
      <c r="E31" s="9" t="n"/>
      <c r="F31" s="9" t="n"/>
      <c r="G31" s="9" t="n"/>
      <c r="H31" s="9" t="n"/>
      <c r="I31" s="9" t="n"/>
      <c r="J31" s="9" t="n"/>
      <c r="K31" s="9" t="n"/>
      <c r="L31" s="9" t="n"/>
      <c r="M31" s="9" t="n"/>
      <c r="N31" s="9" t="n"/>
      <c r="O31" s="9" t="n"/>
      <c r="P31" s="9" t="n"/>
      <c r="Q31" s="9" t="n"/>
      <c r="R31" s="9" t="n"/>
      <c r="S31" s="9" t="n"/>
      <c r="T31" s="9" t="n"/>
      <c r="U31" s="17">
        <f>SUM(D31:T31)</f>
        <v/>
      </c>
      <c r="W31" s="18">
        <f>IF(COUNT(D31:T31)=0,"",IF(ABS(U31-Gabarito!U31)&lt;0.5,"✔","✗"))</f>
        <v/>
      </c>
    </row>
    <row r="32">
      <c r="B32" t="inlineStr">
        <is>
          <t>(-) Depreciação</t>
        </is>
      </c>
      <c r="D32" s="9" t="n"/>
      <c r="E32" s="9" t="n"/>
      <c r="F32" s="9" t="n"/>
      <c r="G32" s="9" t="n"/>
      <c r="H32" s="9" t="n"/>
      <c r="I32" s="9" t="n"/>
      <c r="J32" s="9" t="n"/>
      <c r="K32" s="9" t="n"/>
      <c r="L32" s="9" t="n"/>
      <c r="M32" s="9" t="n"/>
      <c r="N32" s="9" t="n"/>
      <c r="O32" s="9" t="n"/>
      <c r="P32" s="9" t="n"/>
      <c r="Q32" s="9" t="n"/>
      <c r="R32" s="9" t="n"/>
      <c r="S32" s="9" t="n"/>
      <c r="T32" s="9" t="n"/>
      <c r="U32" s="17">
        <f>SUM(D32:T32)</f>
        <v/>
      </c>
      <c r="W32" s="18">
        <f>IF(COUNT(D32:T32)=0,"",IF(ABS(U32-Gabarito!U32)&lt;0.5,"✔","✗"))</f>
        <v/>
      </c>
    </row>
    <row r="33">
      <c r="B33" t="inlineStr">
        <is>
          <t>(-) Perda com Estoque Obsoleto</t>
        </is>
      </c>
      <c r="D33" s="9" t="n"/>
      <c r="E33" s="9" t="n"/>
      <c r="F33" s="9" t="n"/>
      <c r="G33" s="9" t="n"/>
      <c r="H33" s="9" t="n"/>
      <c r="I33" s="9" t="n"/>
      <c r="J33" s="9" t="n"/>
      <c r="K33" s="9" t="n"/>
      <c r="L33" s="9" t="n"/>
      <c r="M33" s="9" t="n"/>
      <c r="N33" s="9" t="n"/>
      <c r="O33" s="9" t="n"/>
      <c r="P33" s="9" t="n"/>
      <c r="Q33" s="9" t="n"/>
      <c r="R33" s="9" t="n"/>
      <c r="S33" s="9" t="n"/>
      <c r="T33" s="9" t="n"/>
      <c r="U33" s="17">
        <f>SUM(D33:T33)</f>
        <v/>
      </c>
      <c r="W33" s="18">
        <f>IF(COUNT(D33:T33)=0,"",IF(ABS(U33-Gabarito!U33)&lt;0.5,"✔","✗"))</f>
        <v/>
      </c>
    </row>
    <row r="34">
      <c r="B34" t="inlineStr">
        <is>
          <t>(-) Despesa com Devedores Duvidosos</t>
        </is>
      </c>
      <c r="D34" s="9" t="n"/>
      <c r="E34" s="9" t="n"/>
      <c r="F34" s="9" t="n"/>
      <c r="G34" s="9" t="n"/>
      <c r="H34" s="9" t="n"/>
      <c r="I34" s="9" t="n"/>
      <c r="J34" s="9" t="n"/>
      <c r="K34" s="9" t="n"/>
      <c r="L34" s="9" t="n"/>
      <c r="M34" s="9" t="n"/>
      <c r="N34" s="9" t="n"/>
      <c r="O34" s="9" t="n"/>
      <c r="P34" s="9" t="n"/>
      <c r="Q34" s="9" t="n"/>
      <c r="R34" s="9" t="n"/>
      <c r="S34" s="9" t="n"/>
      <c r="T34" s="9" t="n"/>
      <c r="U34" s="17">
        <f>SUM(D34:T34)</f>
        <v/>
      </c>
      <c r="W34" s="18">
        <f>IF(COUNT(D34:T34)=0,"",IF(ABS(U34-Gabarito!U34)&lt;0.5,"✔","✗"))</f>
        <v/>
      </c>
    </row>
    <row r="35">
      <c r="B35" t="inlineStr">
        <is>
          <t>(+/-) Resultado na Venda de Imobilizado</t>
        </is>
      </c>
      <c r="D35" s="9" t="n"/>
      <c r="E35" s="9" t="n"/>
      <c r="F35" s="9" t="n"/>
      <c r="G35" s="9" t="n"/>
      <c r="H35" s="9" t="n"/>
      <c r="I35" s="9" t="n"/>
      <c r="J35" s="9" t="n"/>
      <c r="K35" s="9" t="n"/>
      <c r="L35" s="9" t="n"/>
      <c r="M35" s="9" t="n"/>
      <c r="N35" s="9" t="n"/>
      <c r="O35" s="9" t="n"/>
      <c r="P35" s="9" t="n"/>
      <c r="Q35" s="9" t="n"/>
      <c r="R35" s="9" t="n"/>
      <c r="S35" s="9" t="n"/>
      <c r="T35" s="9" t="n"/>
      <c r="U35" s="17">
        <f>SUM(D35:T35)</f>
        <v/>
      </c>
      <c r="W35" s="18">
        <f>IF(COUNT(D35:T35)=0,"",IF(ABS(U35-Gabarito!U35)&lt;0.5,"✔","✗"))</f>
        <v/>
      </c>
    </row>
    <row r="36">
      <c r="B36" s="19" t="inlineStr">
        <is>
          <t xml:space="preserve">     (=) EBIT</t>
        </is>
      </c>
      <c r="D36" s="20">
        <f>SUM(D30:D35)</f>
        <v/>
      </c>
      <c r="E36" s="20">
        <f>SUM(E30:E35)</f>
        <v/>
      </c>
      <c r="F36" s="20">
        <f>SUM(F30:F35)</f>
        <v/>
      </c>
      <c r="G36" s="20">
        <f>SUM(G30:G35)</f>
        <v/>
      </c>
      <c r="H36" s="20">
        <f>SUM(H30:H35)</f>
        <v/>
      </c>
      <c r="I36" s="20">
        <f>SUM(I30:I35)</f>
        <v/>
      </c>
      <c r="J36" s="20">
        <f>SUM(J30:J35)</f>
        <v/>
      </c>
      <c r="K36" s="20">
        <f>SUM(K30:K35)</f>
        <v/>
      </c>
      <c r="L36" s="20">
        <f>SUM(L30:L35)</f>
        <v/>
      </c>
      <c r="M36" s="20">
        <f>SUM(M30:M35)</f>
        <v/>
      </c>
      <c r="N36" s="20">
        <f>SUM(N30:N35)</f>
        <v/>
      </c>
      <c r="O36" s="20">
        <f>SUM(O30:O35)</f>
        <v/>
      </c>
      <c r="P36" s="20">
        <f>SUM(P30:P35)</f>
        <v/>
      </c>
      <c r="Q36" s="20">
        <f>SUM(Q30:Q35)</f>
        <v/>
      </c>
      <c r="R36" s="20">
        <f>SUM(R30:R35)</f>
        <v/>
      </c>
      <c r="S36" s="20">
        <f>SUM(S30:S35)</f>
        <v/>
      </c>
      <c r="T36" s="20">
        <f>SUM(T30:T35)</f>
        <v/>
      </c>
      <c r="U36" s="20">
        <f>SUM(U30:U35)</f>
        <v/>
      </c>
    </row>
    <row r="37">
      <c r="B37" t="inlineStr">
        <is>
          <t>(+/-) Resultado Financeiro</t>
        </is>
      </c>
      <c r="D37" s="9" t="n"/>
      <c r="E37" s="9" t="n"/>
      <c r="F37" s="9" t="n"/>
      <c r="G37" s="9" t="n"/>
      <c r="H37" s="9" t="n"/>
      <c r="I37" s="9" t="n"/>
      <c r="J37" s="9" t="n"/>
      <c r="K37" s="9" t="n"/>
      <c r="L37" s="9" t="n"/>
      <c r="M37" s="9" t="n"/>
      <c r="N37" s="9" t="n"/>
      <c r="O37" s="9" t="n"/>
      <c r="P37" s="9" t="n"/>
      <c r="Q37" s="9" t="n"/>
      <c r="R37" s="9" t="n"/>
      <c r="S37" s="9" t="n"/>
      <c r="T37" s="9" t="n"/>
      <c r="U37" s="17">
        <f>SUM(D37:T37)</f>
        <v/>
      </c>
      <c r="W37" s="18">
        <f>IF(COUNT(D37:T37)=0,"",IF(ABS(U37-Gabarito!U37)&lt;0.5,"✔","✗"))</f>
        <v/>
      </c>
    </row>
    <row r="38">
      <c r="B38" s="19" t="inlineStr">
        <is>
          <t xml:space="preserve">     (=) LAIR</t>
        </is>
      </c>
      <c r="D38" s="20">
        <f>SUM(D36:D37)</f>
        <v/>
      </c>
      <c r="E38" s="20">
        <f>SUM(E36:E37)</f>
        <v/>
      </c>
      <c r="F38" s="20">
        <f>SUM(F36:F37)</f>
        <v/>
      </c>
      <c r="G38" s="20">
        <f>SUM(G36:G37)</f>
        <v/>
      </c>
      <c r="H38" s="20">
        <f>SUM(H36:H37)</f>
        <v/>
      </c>
      <c r="I38" s="20">
        <f>SUM(I36:I37)</f>
        <v/>
      </c>
      <c r="J38" s="20">
        <f>SUM(J36:J37)</f>
        <v/>
      </c>
      <c r="K38" s="20">
        <f>SUM(K36:K37)</f>
        <v/>
      </c>
      <c r="L38" s="20">
        <f>SUM(L36:L37)</f>
        <v/>
      </c>
      <c r="M38" s="20">
        <f>SUM(M36:M37)</f>
        <v/>
      </c>
      <c r="N38" s="20">
        <f>SUM(N36:N37)</f>
        <v/>
      </c>
      <c r="O38" s="20">
        <f>SUM(O36:O37)</f>
        <v/>
      </c>
      <c r="P38" s="20">
        <f>SUM(P36:P37)</f>
        <v/>
      </c>
      <c r="Q38" s="20">
        <f>SUM(Q36:Q37)</f>
        <v/>
      </c>
      <c r="R38" s="20">
        <f>SUM(R36:R37)</f>
        <v/>
      </c>
      <c r="S38" s="20">
        <f>SUM(S36:S37)</f>
        <v/>
      </c>
      <c r="T38" s="20">
        <f>SUM(T36:T37)</f>
        <v/>
      </c>
      <c r="U38" s="20">
        <f>SUM(U36:U37)</f>
        <v/>
      </c>
    </row>
    <row r="39">
      <c r="B39" t="inlineStr">
        <is>
          <t>(-) IR e CSLL</t>
        </is>
      </c>
      <c r="D39" s="9" t="n"/>
      <c r="E39" s="9" t="n"/>
      <c r="F39" s="9" t="n"/>
      <c r="G39" s="9" t="n"/>
      <c r="H39" s="9" t="n"/>
      <c r="I39" s="9" t="n"/>
      <c r="J39" s="9" t="n"/>
      <c r="K39" s="9" t="n"/>
      <c r="L39" s="9" t="n"/>
      <c r="M39" s="9" t="n"/>
      <c r="N39" s="9" t="n"/>
      <c r="O39" s="9" t="n"/>
      <c r="P39" s="9" t="n"/>
      <c r="Q39" s="9" t="n"/>
      <c r="R39" s="9" t="n"/>
      <c r="S39" s="9" t="n"/>
      <c r="T39" s="9" t="n"/>
      <c r="U39" s="17">
        <f>SUM(D39:T39)</f>
        <v/>
      </c>
      <c r="W39" s="18">
        <f>IF(COUNT(D39:T39)=0,"",IF(ABS(U39-Gabarito!U39)&lt;0.5,"✔","✗"))</f>
        <v/>
      </c>
    </row>
    <row r="40">
      <c r="B40" s="19" t="inlineStr">
        <is>
          <t xml:space="preserve">     (=) Lucro Líquido</t>
        </is>
      </c>
      <c r="D40" s="20">
        <f>SUM(D38:D39)</f>
        <v/>
      </c>
      <c r="E40" s="20">
        <f>SUM(E38:E39)</f>
        <v/>
      </c>
      <c r="F40" s="20">
        <f>SUM(F38:F39)</f>
        <v/>
      </c>
      <c r="G40" s="20">
        <f>SUM(G38:G39)</f>
        <v/>
      </c>
      <c r="H40" s="20">
        <f>SUM(H38:H39)</f>
        <v/>
      </c>
      <c r="I40" s="20">
        <f>SUM(I38:I39)</f>
        <v/>
      </c>
      <c r="J40" s="20">
        <f>SUM(J38:J39)</f>
        <v/>
      </c>
      <c r="K40" s="20">
        <f>SUM(K38:K39)</f>
        <v/>
      </c>
      <c r="L40" s="20">
        <f>SUM(L38:L39)</f>
        <v/>
      </c>
      <c r="M40" s="20">
        <f>SUM(M38:M39)</f>
        <v/>
      </c>
      <c r="N40" s="20">
        <f>SUM(N38:N39)</f>
        <v/>
      </c>
      <c r="O40" s="20">
        <f>SUM(O38:O39)</f>
        <v/>
      </c>
      <c r="P40" s="20">
        <f>SUM(P38:P39)</f>
        <v/>
      </c>
      <c r="Q40" s="20">
        <f>SUM(Q38:Q39)</f>
        <v/>
      </c>
      <c r="R40" s="20">
        <f>SUM(R38:R39)</f>
        <v/>
      </c>
      <c r="S40" s="20">
        <f>SUM(S38:S39)</f>
        <v/>
      </c>
      <c r="T40" s="20">
        <f>SUM(T38:T39)</f>
        <v/>
      </c>
      <c r="U40" s="20">
        <f>SUM(U38:U39)</f>
        <v/>
      </c>
    </row>
    <row r="42">
      <c r="B42" s="13" t="inlineStr">
        <is>
          <t>Demonstração dos Fluxos de Caixa</t>
        </is>
      </c>
      <c r="D42" s="3" t="n">
        <v>1</v>
      </c>
      <c r="E42" s="3" t="n">
        <v>2</v>
      </c>
      <c r="F42" s="3" t="n">
        <v>3</v>
      </c>
      <c r="G42" s="3" t="n">
        <v>4</v>
      </c>
      <c r="H42" s="3" t="n">
        <v>5</v>
      </c>
      <c r="I42" s="3" t="n">
        <v>6</v>
      </c>
      <c r="J42" s="3" t="n">
        <v>7</v>
      </c>
      <c r="K42" s="3" t="n">
        <v>8</v>
      </c>
      <c r="L42" s="3" t="n">
        <v>9</v>
      </c>
      <c r="M42" s="3" t="n">
        <v>10</v>
      </c>
      <c r="N42" s="3" t="n">
        <v>11</v>
      </c>
      <c r="O42" s="3" t="n">
        <v>12</v>
      </c>
      <c r="P42" s="3" t="n">
        <v>13</v>
      </c>
      <c r="Q42" s="3" t="n">
        <v>14</v>
      </c>
      <c r="R42" s="3" t="n">
        <v>15</v>
      </c>
      <c r="S42" s="3" t="n">
        <v>16</v>
      </c>
      <c r="T42" s="3" t="n">
        <v>17</v>
      </c>
      <c r="U42" s="13" t="inlineStr">
        <is>
          <t>Ano 4</t>
        </is>
      </c>
    </row>
    <row r="43">
      <c r="B43" s="19" t="inlineStr">
        <is>
          <t>OPERAÇÕES</t>
        </is>
      </c>
      <c r="D43" s="20">
        <f>SUM(D44:D49)</f>
        <v/>
      </c>
      <c r="E43" s="20">
        <f>SUM(E44:E49)</f>
        <v/>
      </c>
      <c r="F43" s="20">
        <f>SUM(F44:F49)</f>
        <v/>
      </c>
      <c r="G43" s="20">
        <f>SUM(G44:G49)</f>
        <v/>
      </c>
      <c r="H43" s="20">
        <f>SUM(H44:H49)</f>
        <v/>
      </c>
      <c r="I43" s="20">
        <f>SUM(I44:I49)</f>
        <v/>
      </c>
      <c r="J43" s="20">
        <f>SUM(J44:J49)</f>
        <v/>
      </c>
      <c r="K43" s="20">
        <f>SUM(K44:K49)</f>
        <v/>
      </c>
      <c r="L43" s="20">
        <f>SUM(L44:L49)</f>
        <v/>
      </c>
      <c r="M43" s="20">
        <f>SUM(M44:M49)</f>
        <v/>
      </c>
      <c r="N43" s="20">
        <f>SUM(N44:N49)</f>
        <v/>
      </c>
      <c r="O43" s="20">
        <f>SUM(O44:O49)</f>
        <v/>
      </c>
      <c r="P43" s="20">
        <f>SUM(P44:P49)</f>
        <v/>
      </c>
      <c r="Q43" s="20">
        <f>SUM(Q44:Q49)</f>
        <v/>
      </c>
      <c r="R43" s="20">
        <f>SUM(R44:R49)</f>
        <v/>
      </c>
      <c r="S43" s="20">
        <f>SUM(S44:S49)</f>
        <v/>
      </c>
      <c r="T43" s="20">
        <f>SUM(T44:T49)</f>
        <v/>
      </c>
      <c r="U43" s="20">
        <f>SUM(U44:U49)</f>
        <v/>
      </c>
    </row>
    <row r="44">
      <c r="B44" t="inlineStr">
        <is>
          <t>Recebimentos de Clientes</t>
        </is>
      </c>
      <c r="D44" s="9" t="n"/>
      <c r="E44" s="9" t="n"/>
      <c r="F44" s="9" t="n"/>
      <c r="G44" s="9" t="n"/>
      <c r="H44" s="9" t="n"/>
      <c r="I44" s="9" t="n"/>
      <c r="J44" s="9" t="n"/>
      <c r="K44" s="9" t="n"/>
      <c r="L44" s="9" t="n"/>
      <c r="M44" s="9" t="n"/>
      <c r="N44" s="9" t="n"/>
      <c r="O44" s="9" t="n"/>
      <c r="P44" s="9" t="n"/>
      <c r="Q44" s="9" t="n"/>
      <c r="R44" s="9" t="n"/>
      <c r="S44" s="9" t="n"/>
      <c r="T44" s="9" t="n"/>
      <c r="U44" s="17">
        <f>SUM(D44:T44)</f>
        <v/>
      </c>
      <c r="W44" s="18">
        <f>IF(COUNT(D44:T44)=0,"",IF(ABS(U44-Gabarito!U44)&lt;0.5,"✔","✗"))</f>
        <v/>
      </c>
    </row>
    <row r="45">
      <c r="B45" t="inlineStr">
        <is>
          <t>Pagamentos de Custos Operacionais</t>
        </is>
      </c>
      <c r="D45" s="9" t="n"/>
      <c r="E45" s="9" t="n"/>
      <c r="F45" s="9" t="n"/>
      <c r="G45" s="9" t="n"/>
      <c r="H45" s="9" t="n"/>
      <c r="I45" s="9" t="n"/>
      <c r="J45" s="9" t="n"/>
      <c r="K45" s="9" t="n"/>
      <c r="L45" s="9" t="n"/>
      <c r="M45" s="9" t="n"/>
      <c r="N45" s="9" t="n"/>
      <c r="O45" s="9" t="n"/>
      <c r="P45" s="9" t="n"/>
      <c r="Q45" s="9" t="n"/>
      <c r="R45" s="9" t="n"/>
      <c r="S45" s="9" t="n"/>
      <c r="T45" s="9" t="n"/>
      <c r="U45" s="17">
        <f>SUM(D45:T45)</f>
        <v/>
      </c>
      <c r="W45" s="18">
        <f>IF(COUNT(D45:T45)=0,"",IF(ABS(U45-Gabarito!U45)&lt;0.5,"✔","✗"))</f>
        <v/>
      </c>
    </row>
    <row r="46">
      <c r="B46" t="inlineStr">
        <is>
          <t>Pagamentos a Fornecedores</t>
        </is>
      </c>
      <c r="D46" s="9" t="n"/>
      <c r="E46" s="9" t="n"/>
      <c r="F46" s="9" t="n"/>
      <c r="G46" s="9" t="n"/>
      <c r="H46" s="9" t="n"/>
      <c r="I46" s="9" t="n"/>
      <c r="J46" s="9" t="n"/>
      <c r="K46" s="9" t="n"/>
      <c r="L46" s="9" t="n"/>
      <c r="M46" s="9" t="n"/>
      <c r="N46" s="9" t="n"/>
      <c r="O46" s="9" t="n"/>
      <c r="P46" s="9" t="n"/>
      <c r="Q46" s="9" t="n"/>
      <c r="R46" s="9" t="n"/>
      <c r="S46" s="9" t="n"/>
      <c r="T46" s="9" t="n"/>
      <c r="U46" s="17">
        <f>SUM(D46:T46)</f>
        <v/>
      </c>
      <c r="W46" s="18">
        <f>IF(COUNT(D46:T46)=0,"",IF(ABS(U46-Gabarito!U46)&lt;0.5,"✔","✗"))</f>
        <v/>
      </c>
    </row>
    <row r="47">
      <c r="B47" t="inlineStr">
        <is>
          <t>Pagamentos de Despesas</t>
        </is>
      </c>
      <c r="D47" s="9" t="n"/>
      <c r="E47" s="9" t="n"/>
      <c r="F47" s="9" t="n"/>
      <c r="G47" s="9" t="n"/>
      <c r="H47" s="9" t="n"/>
      <c r="I47" s="9" t="n"/>
      <c r="J47" s="9" t="n"/>
      <c r="K47" s="9" t="n"/>
      <c r="L47" s="9" t="n"/>
      <c r="M47" s="9" t="n"/>
      <c r="N47" s="9" t="n"/>
      <c r="O47" s="9" t="n"/>
      <c r="P47" s="9" t="n"/>
      <c r="Q47" s="9" t="n"/>
      <c r="R47" s="9" t="n"/>
      <c r="S47" s="9" t="n"/>
      <c r="T47" s="9" t="n"/>
      <c r="U47" s="17">
        <f>SUM(D47:T47)</f>
        <v/>
      </c>
      <c r="W47" s="18">
        <f>IF(COUNT(D47:T47)=0,"",IF(ABS(U47-Gabarito!U47)&lt;0.5,"✔","✗"))</f>
        <v/>
      </c>
    </row>
    <row r="48">
      <c r="B48" t="inlineStr">
        <is>
          <t>Juros Pagos</t>
        </is>
      </c>
      <c r="D48" s="9" t="n"/>
      <c r="E48" s="9" t="n"/>
      <c r="F48" s="9" t="n"/>
      <c r="G48" s="9" t="n"/>
      <c r="H48" s="9" t="n"/>
      <c r="I48" s="9" t="n"/>
      <c r="J48" s="9" t="n"/>
      <c r="K48" s="9" t="n"/>
      <c r="L48" s="9" t="n"/>
      <c r="M48" s="9" t="n"/>
      <c r="N48" s="9" t="n"/>
      <c r="O48" s="9" t="n"/>
      <c r="P48" s="9" t="n"/>
      <c r="Q48" s="9" t="n"/>
      <c r="R48" s="9" t="n"/>
      <c r="S48" s="9" t="n"/>
      <c r="T48" s="9" t="n"/>
      <c r="U48" s="17">
        <f>SUM(D48:T48)</f>
        <v/>
      </c>
      <c r="W48" s="18">
        <f>IF(COUNT(D48:T48)=0,"",IF(ABS(U48-Gabarito!U48)&lt;0.5,"✔","✗"))</f>
        <v/>
      </c>
    </row>
    <row r="49">
      <c r="B49" t="inlineStr">
        <is>
          <t>IR Pago</t>
        </is>
      </c>
      <c r="D49" s="9" t="n"/>
      <c r="E49" s="9" t="n"/>
      <c r="F49" s="9" t="n"/>
      <c r="G49" s="9" t="n"/>
      <c r="H49" s="9" t="n"/>
      <c r="I49" s="9" t="n"/>
      <c r="J49" s="9" t="n"/>
      <c r="K49" s="9" t="n"/>
      <c r="L49" s="9" t="n"/>
      <c r="M49" s="9" t="n"/>
      <c r="N49" s="9" t="n"/>
      <c r="O49" s="9" t="n"/>
      <c r="P49" s="9" t="n"/>
      <c r="Q49" s="9" t="n"/>
      <c r="R49" s="9" t="n"/>
      <c r="S49" s="9" t="n"/>
      <c r="T49" s="9" t="n"/>
      <c r="U49" s="17">
        <f>SUM(D49:T49)</f>
        <v/>
      </c>
      <c r="W49" s="18">
        <f>IF(COUNT(D49:T49)=0,"",IF(ABS(U49-Gabarito!U49)&lt;0.5,"✔","✗"))</f>
        <v/>
      </c>
    </row>
    <row r="50">
      <c r="B50" s="19" t="inlineStr">
        <is>
          <t>INVESTIMENTOS</t>
        </is>
      </c>
      <c r="D50" s="20">
        <f>SUM(D51:D52)</f>
        <v/>
      </c>
      <c r="E50" s="20">
        <f>SUM(E51:E52)</f>
        <v/>
      </c>
      <c r="F50" s="20">
        <f>SUM(F51:F52)</f>
        <v/>
      </c>
      <c r="G50" s="20">
        <f>SUM(G51:G52)</f>
        <v/>
      </c>
      <c r="H50" s="20">
        <f>SUM(H51:H52)</f>
        <v/>
      </c>
      <c r="I50" s="20">
        <f>SUM(I51:I52)</f>
        <v/>
      </c>
      <c r="J50" s="20">
        <f>SUM(J51:J52)</f>
        <v/>
      </c>
      <c r="K50" s="20">
        <f>SUM(K51:K52)</f>
        <v/>
      </c>
      <c r="L50" s="20">
        <f>SUM(L51:L52)</f>
        <v/>
      </c>
      <c r="M50" s="20">
        <f>SUM(M51:M52)</f>
        <v/>
      </c>
      <c r="N50" s="20">
        <f>SUM(N51:N52)</f>
        <v/>
      </c>
      <c r="O50" s="20">
        <f>SUM(O51:O52)</f>
        <v/>
      </c>
      <c r="P50" s="20">
        <f>SUM(P51:P52)</f>
        <v/>
      </c>
      <c r="Q50" s="20">
        <f>SUM(Q51:Q52)</f>
        <v/>
      </c>
      <c r="R50" s="20">
        <f>SUM(R51:R52)</f>
        <v/>
      </c>
      <c r="S50" s="20">
        <f>SUM(S51:S52)</f>
        <v/>
      </c>
      <c r="T50" s="20">
        <f>SUM(T51:T52)</f>
        <v/>
      </c>
      <c r="U50" s="20">
        <f>SUM(U51:U52)</f>
        <v/>
      </c>
    </row>
    <row r="51">
      <c r="B51" t="inlineStr">
        <is>
          <t>Venda de Imobilizado</t>
        </is>
      </c>
      <c r="D51" s="9" t="n"/>
      <c r="E51" s="9" t="n"/>
      <c r="F51" s="9" t="n"/>
      <c r="G51" s="9" t="n"/>
      <c r="H51" s="9" t="n"/>
      <c r="I51" s="9" t="n"/>
      <c r="J51" s="9" t="n"/>
      <c r="K51" s="9" t="n"/>
      <c r="L51" s="9" t="n"/>
      <c r="M51" s="9" t="n"/>
      <c r="N51" s="9" t="n"/>
      <c r="O51" s="9" t="n"/>
      <c r="P51" s="9" t="n"/>
      <c r="Q51" s="9" t="n"/>
      <c r="R51" s="9" t="n"/>
      <c r="S51" s="9" t="n"/>
      <c r="T51" s="9" t="n"/>
      <c r="U51" s="17">
        <f>SUM(D51:T51)</f>
        <v/>
      </c>
      <c r="W51" s="18">
        <f>IF(COUNT(D51:T51)=0,"",IF(ABS(U51-Gabarito!U51)&lt;0.5,"✔","✗"))</f>
        <v/>
      </c>
    </row>
    <row r="52">
      <c r="B52" t="inlineStr">
        <is>
          <t>Aquisição de Imobilizado</t>
        </is>
      </c>
      <c r="D52" s="9" t="n"/>
      <c r="E52" s="9" t="n"/>
      <c r="F52" s="9" t="n"/>
      <c r="G52" s="9" t="n"/>
      <c r="H52" s="9" t="n"/>
      <c r="I52" s="9" t="n"/>
      <c r="J52" s="9" t="n"/>
      <c r="K52" s="9" t="n"/>
      <c r="L52" s="9" t="n"/>
      <c r="M52" s="9" t="n"/>
      <c r="N52" s="9" t="n"/>
      <c r="O52" s="9" t="n"/>
      <c r="P52" s="9" t="n"/>
      <c r="Q52" s="9" t="n"/>
      <c r="R52" s="9" t="n"/>
      <c r="S52" s="9" t="n"/>
      <c r="T52" s="9" t="n"/>
      <c r="U52" s="17">
        <f>SUM(D52:T52)</f>
        <v/>
      </c>
      <c r="W52" s="18">
        <f>IF(COUNT(D52:T52)=0,"",IF(ABS(U52-Gabarito!U52)&lt;0.5,"✔","✗"))</f>
        <v/>
      </c>
    </row>
    <row r="53">
      <c r="B53" s="19" t="inlineStr">
        <is>
          <t>FINANCIAMENTOS</t>
        </is>
      </c>
      <c r="D53" s="20">
        <f>SUM(D54:D55)</f>
        <v/>
      </c>
      <c r="E53" s="20">
        <f>SUM(E54:E55)</f>
        <v/>
      </c>
      <c r="F53" s="20">
        <f>SUM(F54:F55)</f>
        <v/>
      </c>
      <c r="G53" s="20">
        <f>SUM(G54:G55)</f>
        <v/>
      </c>
      <c r="H53" s="20">
        <f>SUM(H54:H55)</f>
        <v/>
      </c>
      <c r="I53" s="20">
        <f>SUM(I54:I55)</f>
        <v/>
      </c>
      <c r="J53" s="20">
        <f>SUM(J54:J55)</f>
        <v/>
      </c>
      <c r="K53" s="20">
        <f>SUM(K54:K55)</f>
        <v/>
      </c>
      <c r="L53" s="20">
        <f>SUM(L54:L55)</f>
        <v/>
      </c>
      <c r="M53" s="20">
        <f>SUM(M54:M55)</f>
        <v/>
      </c>
      <c r="N53" s="20">
        <f>SUM(N54:N55)</f>
        <v/>
      </c>
      <c r="O53" s="20">
        <f>SUM(O54:O55)</f>
        <v/>
      </c>
      <c r="P53" s="20">
        <f>SUM(P54:P55)</f>
        <v/>
      </c>
      <c r="Q53" s="20">
        <f>SUM(Q54:Q55)</f>
        <v/>
      </c>
      <c r="R53" s="20">
        <f>SUM(R54:R55)</f>
        <v/>
      </c>
      <c r="S53" s="20">
        <f>SUM(S54:S55)</f>
        <v/>
      </c>
      <c r="T53" s="20">
        <f>SUM(T54:T55)</f>
        <v/>
      </c>
      <c r="U53" s="20">
        <f>SUM(U54:U55)</f>
        <v/>
      </c>
    </row>
    <row r="54">
      <c r="B54" t="inlineStr">
        <is>
          <t>Amortização de Empréstimos</t>
        </is>
      </c>
      <c r="D54" s="9" t="n"/>
      <c r="E54" s="9" t="n"/>
      <c r="F54" s="9" t="n"/>
      <c r="G54" s="9" t="n"/>
      <c r="H54" s="9" t="n"/>
      <c r="I54" s="9" t="n"/>
      <c r="J54" s="9" t="n"/>
      <c r="K54" s="9" t="n"/>
      <c r="L54" s="9" t="n"/>
      <c r="M54" s="9" t="n"/>
      <c r="N54" s="9" t="n"/>
      <c r="O54" s="9" t="n"/>
      <c r="P54" s="9" t="n"/>
      <c r="Q54" s="9" t="n"/>
      <c r="R54" s="9" t="n"/>
      <c r="S54" s="9" t="n"/>
      <c r="T54" s="9" t="n"/>
      <c r="U54" s="17">
        <f>SUM(D54:T54)</f>
        <v/>
      </c>
      <c r="W54" s="18">
        <f>IF(COUNT(D54:T54)=0,"",IF(ABS(U54-Gabarito!U54)&lt;0.5,"✔","✗"))</f>
        <v/>
      </c>
    </row>
    <row r="55">
      <c r="B55" t="inlineStr">
        <is>
          <t>Dividendos Pagos</t>
        </is>
      </c>
      <c r="D55" s="9" t="n"/>
      <c r="E55" s="9" t="n"/>
      <c r="F55" s="9" t="n"/>
      <c r="G55" s="9" t="n"/>
      <c r="H55" s="9" t="n"/>
      <c r="I55" s="9" t="n"/>
      <c r="J55" s="9" t="n"/>
      <c r="K55" s="9" t="n"/>
      <c r="L55" s="9" t="n"/>
      <c r="M55" s="9" t="n"/>
      <c r="N55" s="9" t="n"/>
      <c r="O55" s="9" t="n"/>
      <c r="P55" s="9" t="n"/>
      <c r="Q55" s="9" t="n"/>
      <c r="R55" s="9" t="n"/>
      <c r="S55" s="9" t="n"/>
      <c r="T55" s="9" t="n"/>
      <c r="U55" s="17">
        <f>SUM(D55:T55)</f>
        <v/>
      </c>
      <c r="W55" s="18">
        <f>IF(COUNT(D55:T55)=0,"",IF(ABS(U55-Gabarito!U55)&lt;0.5,"✔","✗"))</f>
        <v/>
      </c>
    </row>
    <row r="56">
      <c r="B56" s="19" t="inlineStr">
        <is>
          <t>VARIAÇÃO NO CAIXA</t>
        </is>
      </c>
      <c r="D56" s="20">
        <f>D43+D50+D53</f>
        <v/>
      </c>
      <c r="E56" s="20">
        <f>E43+E50+E53</f>
        <v/>
      </c>
      <c r="F56" s="20">
        <f>F43+F50+F53</f>
        <v/>
      </c>
      <c r="G56" s="20">
        <f>G43+G50+G53</f>
        <v/>
      </c>
      <c r="H56" s="20">
        <f>H43+H50+H53</f>
        <v/>
      </c>
      <c r="I56" s="20">
        <f>I43+I50+I53</f>
        <v/>
      </c>
      <c r="J56" s="20">
        <f>J43+J50+J53</f>
        <v/>
      </c>
      <c r="K56" s="20">
        <f>K43+K50+K53</f>
        <v/>
      </c>
      <c r="L56" s="20">
        <f>L43+L50+L53</f>
        <v/>
      </c>
      <c r="M56" s="20">
        <f>M43+M50+M53</f>
        <v/>
      </c>
      <c r="N56" s="20">
        <f>N43+N50+N53</f>
        <v/>
      </c>
      <c r="O56" s="20">
        <f>O43+O50+O53</f>
        <v/>
      </c>
      <c r="P56" s="20">
        <f>P43+P50+P53</f>
        <v/>
      </c>
      <c r="Q56" s="20">
        <f>Q43+Q50+Q53</f>
        <v/>
      </c>
      <c r="R56" s="20">
        <f>R43+R50+R53</f>
        <v/>
      </c>
      <c r="S56" s="20">
        <f>S43+S50+S53</f>
        <v/>
      </c>
      <c r="T56" s="20">
        <f>T43+T50+T53</f>
        <v/>
      </c>
      <c r="U56" s="20">
        <f>U43+U50+U53</f>
        <v/>
      </c>
    </row>
    <row r="57">
      <c r="B57" t="inlineStr">
        <is>
          <t xml:space="preserve">    Saldo inicial de caixa</t>
        </is>
      </c>
      <c r="U57" s="16" t="n">
        <v>60</v>
      </c>
    </row>
    <row r="58">
      <c r="B58" s="19" t="inlineStr">
        <is>
          <t xml:space="preserve">    Saldo final de caixa</t>
        </is>
      </c>
      <c r="U58" s="17">
        <f>U57+U56</f>
        <v/>
      </c>
    </row>
    <row r="60">
      <c r="B60" s="21" t="inlineStr">
        <is>
          <t>Caixa final da DFC menos Caixa do BP (tem que dar zero)</t>
        </is>
      </c>
      <c r="U60" s="17">
        <f>U58-U6</f>
        <v/>
      </c>
      <c r="W60" s="19">
        <f>IF(U60=0,"✔ amarra","✗ não amarra")</f>
        <v/>
      </c>
    </row>
    <row r="62">
      <c r="B62" s="13" t="inlineStr">
        <is>
          <t>Indicadores (automáticos)</t>
        </is>
      </c>
    </row>
    <row r="63">
      <c r="B63" t="inlineStr">
        <is>
          <t>Margem bruta</t>
        </is>
      </c>
      <c r="U63" s="23">
        <f>IF(U28=0,"",U30/U28)</f>
        <v/>
      </c>
    </row>
    <row r="64">
      <c r="B64" t="inlineStr">
        <is>
          <t>Margem líquida</t>
        </is>
      </c>
      <c r="U64" s="23">
        <f>IF(U28=0,"",U40/U28)</f>
        <v/>
      </c>
    </row>
    <row r="65">
      <c r="B65" t="inlineStr">
        <is>
          <t>% financiado por capital próprio (PL / Ativo)</t>
        </is>
      </c>
      <c r="U65" s="23">
        <f>IF(U13=0,"",SUM(U21:U22)/U13)</f>
        <v/>
      </c>
    </row>
    <row r="66">
      <c r="B66" t="inlineStr">
        <is>
          <t>ROE (LL / PL final)</t>
        </is>
      </c>
      <c r="U66" s="23">
        <f>IF(SUM(U21:U22)=0,"",U40/SUM(U21:U22))</f>
        <v/>
      </c>
    </row>
  </sheetData>
  <mergeCells count="1">
    <mergeCell ref="B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W66"/>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4" customWidth="1" min="1" max="1"/>
    <col width="3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3" customWidth="1" min="22" max="22"/>
    <col width="13" customWidth="1" min="23" max="23"/>
  </cols>
  <sheetData>
    <row r="1">
      <c r="B1" s="1" t="inlineStr">
        <is>
          <t>Transportadora Rota Sul S.A.</t>
        </is>
      </c>
      <c r="D1" s="11" t="inlineStr">
        <is>
          <t>Transações, por Número e Descrição</t>
        </is>
      </c>
    </row>
    <row r="2" ht="42" customHeight="1">
      <c r="B2" s="2" t="inlineStr">
        <is>
          <t>Ano 4  |  valores em R$ mil</t>
        </is>
      </c>
      <c r="D2" s="12" t="inlineStr">
        <is>
          <t>Receita de fretes do ano: 920, sendo 620 recebidos à vista e</t>
        </is>
      </c>
      <c r="E2" s="12" t="inlineStr">
        <is>
          <t>Consumo de 45 de peças da oficina nas manutenções da frota</t>
        </is>
      </c>
      <c r="F2" s="12" t="inlineStr">
        <is>
          <t>Custos de operação pagos à vista (combustível, pedágio e sal</t>
        </is>
      </c>
      <c r="G2" s="12" t="inlineStr">
        <is>
          <t>Compra de peças de reposição por 60, integralmente a prazo</t>
        </is>
      </c>
      <c r="H2" s="12" t="inlineStr">
        <is>
          <t xml:space="preserve">Venda à vista de um caminhão por 50. Ele custou 180 e tinha </t>
        </is>
      </c>
      <c r="I2" s="12" t="inlineStr">
        <is>
          <t>Venda à vista de outro caminhão por 25. Ele custou 120 e tin</t>
        </is>
      </c>
      <c r="J2" s="12" t="inlineStr">
        <is>
          <t xml:space="preserve">Compra de dois caminhões novos por 260, sendo 100 à vista e </t>
        </is>
      </c>
      <c r="K2" s="12" t="inlineStr">
        <is>
          <t>Depreciação da frota no ano: 70</t>
        </is>
      </c>
      <c r="L2" s="12" t="inlineStr">
        <is>
          <t>Baixa de 12 de peças obsoletas, de modelos que saíram da fro</t>
        </is>
      </c>
      <c r="M2" s="12" t="inlineStr">
        <is>
          <t>Constituição de provisão para devedores duvidosos: 18</t>
        </is>
      </c>
      <c r="N2" s="12" t="inlineStr">
        <is>
          <t xml:space="preserve">Baixa definitiva de um cliente incobrável de 14, consumindo </t>
        </is>
      </c>
      <c r="O2" s="12" t="inlineStr">
        <is>
          <t>Recebimento de 240 de clientes</t>
        </is>
      </c>
      <c r="P2" s="12" t="inlineStr">
        <is>
          <t>Pagamento de 95 a fornecedores</t>
        </is>
      </c>
      <c r="Q2" s="12" t="inlineStr">
        <is>
          <t>Despesas administrativas do ano: 110, pagas à vista</t>
        </is>
      </c>
      <c r="R2" s="12" t="inlineStr">
        <is>
          <t>Pagamento de 20 de juros e amortização de 40 do principal da</t>
        </is>
      </c>
      <c r="S2" s="12" t="inlineStr">
        <is>
          <t>IR e CSLL do ano: 33, pagos integralmente à vista</t>
        </is>
      </c>
      <c r="T2" s="12" t="inlineStr">
        <is>
          <t>Dividendos de 20 declarados e pagos em dinheiro</t>
        </is>
      </c>
    </row>
    <row r="3">
      <c r="B3" s="13" t="inlineStr">
        <is>
          <t>Balanço Patrimonial</t>
        </is>
      </c>
      <c r="C3" s="13" t="inlineStr">
        <is>
          <t>Balanço Inicial</t>
        </is>
      </c>
      <c r="D3" s="3" t="n">
        <v>1</v>
      </c>
      <c r="E3" s="3" t="n">
        <v>2</v>
      </c>
      <c r="F3" s="3" t="n">
        <v>3</v>
      </c>
      <c r="G3" s="3" t="n">
        <v>4</v>
      </c>
      <c r="H3" s="3" t="n">
        <v>5</v>
      </c>
      <c r="I3" s="3" t="n">
        <v>6</v>
      </c>
      <c r="J3" s="3" t="n">
        <v>7</v>
      </c>
      <c r="K3" s="3" t="n">
        <v>8</v>
      </c>
      <c r="L3" s="3" t="n">
        <v>9</v>
      </c>
      <c r="M3" s="3" t="n">
        <v>10</v>
      </c>
      <c r="N3" s="3" t="n">
        <v>11</v>
      </c>
      <c r="O3" s="3" t="n">
        <v>12</v>
      </c>
      <c r="P3" s="3" t="n">
        <v>13</v>
      </c>
      <c r="Q3" s="3" t="n">
        <v>14</v>
      </c>
      <c r="R3" s="3" t="n">
        <v>15</v>
      </c>
      <c r="S3" s="3" t="n">
        <v>16</v>
      </c>
      <c r="T3" s="3" t="n">
        <v>17</v>
      </c>
      <c r="U3" s="13" t="inlineStr">
        <is>
          <t>Balanço Final</t>
        </is>
      </c>
    </row>
    <row r="4">
      <c r="B4" s="14" t="inlineStr">
        <is>
          <t>ATIVO</t>
        </is>
      </c>
    </row>
    <row r="5">
      <c r="B5" s="15" t="inlineStr">
        <is>
          <t>Ativo Circulante</t>
        </is>
      </c>
    </row>
    <row r="6">
      <c r="B6" t="inlineStr">
        <is>
          <t>Caixa</t>
        </is>
      </c>
      <c r="C6" s="16" t="n">
        <v>60</v>
      </c>
      <c r="D6" s="9" t="n">
        <v>620</v>
      </c>
      <c r="E6" s="9" t="n"/>
      <c r="F6" s="9" t="n">
        <v>-540</v>
      </c>
      <c r="G6" s="9" t="n"/>
      <c r="H6" s="9" t="n">
        <v>50</v>
      </c>
      <c r="I6" s="9" t="n">
        <v>25</v>
      </c>
      <c r="J6" s="9" t="n">
        <v>-100</v>
      </c>
      <c r="K6" s="9" t="n"/>
      <c r="L6" s="9" t="n"/>
      <c r="M6" s="9" t="n"/>
      <c r="N6" s="9" t="n"/>
      <c r="O6" s="9" t="n">
        <v>240</v>
      </c>
      <c r="P6" s="9" t="n">
        <v>-95</v>
      </c>
      <c r="Q6" s="9" t="n">
        <v>-110</v>
      </c>
      <c r="R6" s="9" t="n">
        <v>-60</v>
      </c>
      <c r="S6" s="9" t="n">
        <v>-33</v>
      </c>
      <c r="T6" s="9" t="n">
        <v>-20</v>
      </c>
      <c r="U6" s="17">
        <f>C6+SUM(D6:T6)</f>
        <v/>
      </c>
    </row>
    <row r="7">
      <c r="B7" t="inlineStr">
        <is>
          <t>Contas a Receber</t>
        </is>
      </c>
      <c r="C7" s="16" t="n">
        <v>200</v>
      </c>
      <c r="D7" s="9" t="n">
        <v>300</v>
      </c>
      <c r="E7" s="9" t="n"/>
      <c r="F7" s="9" t="n"/>
      <c r="G7" s="9" t="n"/>
      <c r="H7" s="9" t="n"/>
      <c r="I7" s="9" t="n"/>
      <c r="J7" s="9" t="n"/>
      <c r="K7" s="9" t="n"/>
      <c r="L7" s="9" t="n"/>
      <c r="M7" s="9" t="n"/>
      <c r="N7" s="9" t="n">
        <v>-14</v>
      </c>
      <c r="O7" s="9" t="n">
        <v>-240</v>
      </c>
      <c r="P7" s="9" t="n"/>
      <c r="Q7" s="9" t="n"/>
      <c r="R7" s="9" t="n"/>
      <c r="S7" s="9" t="n"/>
      <c r="T7" s="9" t="n"/>
      <c r="U7" s="17">
        <f>C7+SUM(D7:T7)</f>
        <v/>
      </c>
    </row>
    <row r="8">
      <c r="B8" t="inlineStr">
        <is>
          <t>(-) Provisão p/ Devedores Duvidosos</t>
        </is>
      </c>
      <c r="C8" s="16" t="n">
        <v>-10</v>
      </c>
      <c r="D8" s="9" t="n"/>
      <c r="E8" s="9" t="n"/>
      <c r="F8" s="9" t="n"/>
      <c r="G8" s="9" t="n"/>
      <c r="H8" s="9" t="n"/>
      <c r="I8" s="9" t="n"/>
      <c r="J8" s="9" t="n"/>
      <c r="K8" s="9" t="n"/>
      <c r="L8" s="9" t="n"/>
      <c r="M8" s="9" t="n">
        <v>-18</v>
      </c>
      <c r="N8" s="9" t="n">
        <v>14</v>
      </c>
      <c r="O8" s="9" t="n"/>
      <c r="P8" s="9" t="n"/>
      <c r="Q8" s="9" t="n"/>
      <c r="R8" s="9" t="n"/>
      <c r="S8" s="9" t="n"/>
      <c r="T8" s="9" t="n"/>
      <c r="U8" s="17">
        <f>C8+SUM(D8:T8)</f>
        <v/>
      </c>
    </row>
    <row r="9">
      <c r="B9" t="inlineStr">
        <is>
          <t>Estoque de Peças</t>
        </is>
      </c>
      <c r="C9" s="16" t="n">
        <v>70</v>
      </c>
      <c r="D9" s="9" t="n"/>
      <c r="E9" s="9" t="n">
        <v>-45</v>
      </c>
      <c r="F9" s="9" t="n"/>
      <c r="G9" s="9" t="n">
        <v>60</v>
      </c>
      <c r="H9" s="9" t="n"/>
      <c r="I9" s="9" t="n"/>
      <c r="J9" s="9" t="n"/>
      <c r="K9" s="9" t="n"/>
      <c r="L9" s="9" t="n">
        <v>-12</v>
      </c>
      <c r="M9" s="9" t="n"/>
      <c r="N9" s="9" t="n"/>
      <c r="O9" s="9" t="n"/>
      <c r="P9" s="9" t="n"/>
      <c r="Q9" s="9" t="n"/>
      <c r="R9" s="9" t="n"/>
      <c r="S9" s="9" t="n"/>
      <c r="T9" s="9" t="n"/>
      <c r="U9" s="17">
        <f>C9+SUM(D9:T9)</f>
        <v/>
      </c>
    </row>
    <row r="10">
      <c r="B10" s="15" t="inlineStr">
        <is>
          <t>Ativo Não Circulante</t>
        </is>
      </c>
    </row>
    <row r="11">
      <c r="B11" t="inlineStr">
        <is>
          <t>Imobilizado (frota)</t>
        </is>
      </c>
      <c r="C11" s="16" t="n">
        <v>600</v>
      </c>
      <c r="D11" s="9" t="n"/>
      <c r="E11" s="9" t="n"/>
      <c r="F11" s="9" t="n"/>
      <c r="G11" s="9" t="n"/>
      <c r="H11" s="9" t="n">
        <v>-180</v>
      </c>
      <c r="I11" s="9" t="n">
        <v>-120</v>
      </c>
      <c r="J11" s="9" t="n">
        <v>260</v>
      </c>
      <c r="K11" s="9" t="n"/>
      <c r="L11" s="9" t="n"/>
      <c r="M11" s="9" t="n"/>
      <c r="N11" s="9" t="n"/>
      <c r="O11" s="9" t="n"/>
      <c r="P11" s="9" t="n"/>
      <c r="Q11" s="9" t="n"/>
      <c r="R11" s="9" t="n"/>
      <c r="S11" s="9" t="n"/>
      <c r="T11" s="9" t="n"/>
      <c r="U11" s="17">
        <f>C11+SUM(D11:T11)</f>
        <v/>
      </c>
    </row>
    <row r="12">
      <c r="B12" t="inlineStr">
        <is>
          <t>(-) Depreciação Acumulada</t>
        </is>
      </c>
      <c r="C12" s="16" t="n">
        <v>-240</v>
      </c>
      <c r="D12" s="9" t="n"/>
      <c r="E12" s="9" t="n"/>
      <c r="F12" s="9" t="n"/>
      <c r="G12" s="9" t="n"/>
      <c r="H12" s="9" t="n">
        <v>150</v>
      </c>
      <c r="I12" s="9" t="n">
        <v>80</v>
      </c>
      <c r="J12" s="9" t="n"/>
      <c r="K12" s="9" t="n">
        <v>-70</v>
      </c>
      <c r="L12" s="9" t="n"/>
      <c r="M12" s="9" t="n"/>
      <c r="N12" s="9" t="n"/>
      <c r="O12" s="9" t="n"/>
      <c r="P12" s="9" t="n"/>
      <c r="Q12" s="9" t="n"/>
      <c r="R12" s="9" t="n"/>
      <c r="S12" s="9" t="n"/>
      <c r="T12" s="9" t="n"/>
      <c r="U12" s="17">
        <f>C12+SUM(D12:T12)</f>
        <v/>
      </c>
    </row>
    <row r="13">
      <c r="B13" s="19" t="inlineStr">
        <is>
          <t xml:space="preserve">  Total do Ativo</t>
        </is>
      </c>
      <c r="C13" s="20">
        <f>SUM(C6:C12)</f>
        <v/>
      </c>
      <c r="D13" s="20">
        <f>SUM(D6:D12)</f>
        <v/>
      </c>
      <c r="E13" s="20">
        <f>SUM(E6:E12)</f>
        <v/>
      </c>
      <c r="F13" s="20">
        <f>SUM(F6:F12)</f>
        <v/>
      </c>
      <c r="G13" s="20">
        <f>SUM(G6:G12)</f>
        <v/>
      </c>
      <c r="H13" s="20">
        <f>SUM(H6:H12)</f>
        <v/>
      </c>
      <c r="I13" s="20">
        <f>SUM(I6:I12)</f>
        <v/>
      </c>
      <c r="J13" s="20">
        <f>SUM(J6:J12)</f>
        <v/>
      </c>
      <c r="K13" s="20">
        <f>SUM(K6:K12)</f>
        <v/>
      </c>
      <c r="L13" s="20">
        <f>SUM(L6:L12)</f>
        <v/>
      </c>
      <c r="M13" s="20">
        <f>SUM(M6:M12)</f>
        <v/>
      </c>
      <c r="N13" s="20">
        <f>SUM(N6:N12)</f>
        <v/>
      </c>
      <c r="O13" s="20">
        <f>SUM(O6:O12)</f>
        <v/>
      </c>
      <c r="P13" s="20">
        <f>SUM(P6:P12)</f>
        <v/>
      </c>
      <c r="Q13" s="20">
        <f>SUM(Q6:Q12)</f>
        <v/>
      </c>
      <c r="R13" s="20">
        <f>SUM(R6:R12)</f>
        <v/>
      </c>
      <c r="S13" s="20">
        <f>SUM(S6:S12)</f>
        <v/>
      </c>
      <c r="T13" s="20">
        <f>SUM(T6:T12)</f>
        <v/>
      </c>
      <c r="U13" s="20">
        <f>SUM(U6:U12)</f>
        <v/>
      </c>
    </row>
    <row r="14">
      <c r="B14" s="14" t="inlineStr">
        <is>
          <t>PASSIVO E PATRIM. LÍQUIDO</t>
        </is>
      </c>
    </row>
    <row r="15">
      <c r="B15" s="15" t="inlineStr">
        <is>
          <t>Passivo Circulante:</t>
        </is>
      </c>
    </row>
    <row r="16">
      <c r="B16" t="inlineStr">
        <is>
          <t>Fornecedores</t>
        </is>
      </c>
      <c r="C16" s="16" t="n">
        <v>80</v>
      </c>
      <c r="D16" s="9" t="n"/>
      <c r="E16" s="9" t="n"/>
      <c r="F16" s="9" t="n"/>
      <c r="G16" s="9" t="n">
        <v>60</v>
      </c>
      <c r="H16" s="9" t="n"/>
      <c r="I16" s="9" t="n"/>
      <c r="J16" s="9" t="n"/>
      <c r="K16" s="9" t="n"/>
      <c r="L16" s="9" t="n"/>
      <c r="M16" s="9" t="n"/>
      <c r="N16" s="9" t="n"/>
      <c r="O16" s="9" t="n"/>
      <c r="P16" s="9" t="n">
        <v>-95</v>
      </c>
      <c r="Q16" s="9" t="n"/>
      <c r="R16" s="9" t="n"/>
      <c r="S16" s="9" t="n"/>
      <c r="T16" s="9" t="n"/>
      <c r="U16" s="17">
        <f>C16+SUM(D16:T16)</f>
        <v/>
      </c>
    </row>
    <row r="17">
      <c r="B17" t="inlineStr">
        <is>
          <t>Empréstimos</t>
        </is>
      </c>
      <c r="C17" s="16" t="n">
        <v>200</v>
      </c>
      <c r="D17" s="9" t="n"/>
      <c r="E17" s="9" t="n"/>
      <c r="F17" s="9" t="n"/>
      <c r="G17" s="9" t="n"/>
      <c r="H17" s="9" t="n"/>
      <c r="I17" s="9" t="n"/>
      <c r="J17" s="9" t="n"/>
      <c r="K17" s="9" t="n"/>
      <c r="L17" s="9" t="n"/>
      <c r="M17" s="9" t="n"/>
      <c r="N17" s="9" t="n"/>
      <c r="O17" s="9" t="n"/>
      <c r="P17" s="9" t="n"/>
      <c r="Q17" s="9" t="n"/>
      <c r="R17" s="9" t="n">
        <v>-40</v>
      </c>
      <c r="S17" s="9" t="n"/>
      <c r="T17" s="9" t="n"/>
      <c r="U17" s="17">
        <f>C17+SUM(D17:T17)</f>
        <v/>
      </c>
    </row>
    <row r="18">
      <c r="B18" s="15" t="inlineStr">
        <is>
          <t>Passivo Não Circulante:</t>
        </is>
      </c>
    </row>
    <row r="19">
      <c r="B19" t="inlineStr">
        <is>
          <t>Financiamento a Pagar (LP)</t>
        </is>
      </c>
      <c r="C19" s="16" t="n"/>
      <c r="D19" s="9" t="n"/>
      <c r="E19" s="9" t="n"/>
      <c r="F19" s="9" t="n"/>
      <c r="G19" s="9" t="n"/>
      <c r="H19" s="9" t="n"/>
      <c r="I19" s="9" t="n"/>
      <c r="J19" s="9" t="n">
        <v>160</v>
      </c>
      <c r="K19" s="9" t="n"/>
      <c r="L19" s="9" t="n"/>
      <c r="M19" s="9" t="n"/>
      <c r="N19" s="9" t="n"/>
      <c r="O19" s="9" t="n"/>
      <c r="P19" s="9" t="n"/>
      <c r="Q19" s="9" t="n"/>
      <c r="R19" s="9" t="n"/>
      <c r="S19" s="9" t="n"/>
      <c r="T19" s="9" t="n"/>
      <c r="U19" s="17">
        <f>C19+SUM(D19:T19)</f>
        <v/>
      </c>
    </row>
    <row r="20">
      <c r="B20" s="15" t="inlineStr">
        <is>
          <t>Patrimônio Líquido:</t>
        </is>
      </c>
    </row>
    <row r="21">
      <c r="B21" t="inlineStr">
        <is>
          <t>Capital Social</t>
        </is>
      </c>
      <c r="C21" s="16" t="n">
        <v>300</v>
      </c>
      <c r="D21" s="9" t="n"/>
      <c r="E21" s="9" t="n"/>
      <c r="F21" s="9" t="n"/>
      <c r="G21" s="9" t="n"/>
      <c r="H21" s="9" t="n"/>
      <c r="I21" s="9" t="n"/>
      <c r="J21" s="9" t="n"/>
      <c r="K21" s="9" t="n"/>
      <c r="L21" s="9" t="n"/>
      <c r="M21" s="9" t="n"/>
      <c r="N21" s="9" t="n"/>
      <c r="O21" s="9" t="n"/>
      <c r="P21" s="9" t="n"/>
      <c r="Q21" s="9" t="n"/>
      <c r="R21" s="9" t="n"/>
      <c r="S21" s="9" t="n"/>
      <c r="T21" s="9" t="n"/>
      <c r="U21" s="17">
        <f>C21+SUM(D21:T21)</f>
        <v/>
      </c>
    </row>
    <row r="22">
      <c r="B22" t="inlineStr">
        <is>
          <t>Lucros Acumulados</t>
        </is>
      </c>
      <c r="C22" s="16" t="n">
        <v>100</v>
      </c>
      <c r="D22" s="9" t="n">
        <v>920</v>
      </c>
      <c r="E22" s="9" t="n">
        <v>-45</v>
      </c>
      <c r="F22" s="9" t="n">
        <v>-540</v>
      </c>
      <c r="G22" s="9" t="n"/>
      <c r="H22" s="9" t="n">
        <v>20</v>
      </c>
      <c r="I22" s="9" t="n">
        <v>-15</v>
      </c>
      <c r="J22" s="9" t="n"/>
      <c r="K22" s="9" t="n">
        <v>-70</v>
      </c>
      <c r="L22" s="9" t="n">
        <v>-12</v>
      </c>
      <c r="M22" s="9" t="n">
        <v>-18</v>
      </c>
      <c r="N22" s="9" t="n"/>
      <c r="O22" s="9" t="n"/>
      <c r="P22" s="9" t="n"/>
      <c r="Q22" s="9" t="n">
        <v>-110</v>
      </c>
      <c r="R22" s="9" t="n">
        <v>-20</v>
      </c>
      <c r="S22" s="9" t="n">
        <v>-33</v>
      </c>
      <c r="T22" s="9" t="n">
        <v>-20</v>
      </c>
      <c r="U22" s="17">
        <f>C22+SUM(D22:T22)</f>
        <v/>
      </c>
    </row>
    <row r="23">
      <c r="B23" s="19" t="inlineStr">
        <is>
          <t>Total Passivo e Patrim. Líquido</t>
        </is>
      </c>
      <c r="C23" s="20">
        <f>SUM(C15:C22)</f>
        <v/>
      </c>
      <c r="D23" s="20">
        <f>SUM(D15:D22)</f>
        <v/>
      </c>
      <c r="E23" s="20">
        <f>SUM(E15:E22)</f>
        <v/>
      </c>
      <c r="F23" s="20">
        <f>SUM(F15:F22)</f>
        <v/>
      </c>
      <c r="G23" s="20">
        <f>SUM(G15:G22)</f>
        <v/>
      </c>
      <c r="H23" s="20">
        <f>SUM(H15:H22)</f>
        <v/>
      </c>
      <c r="I23" s="20">
        <f>SUM(I15:I22)</f>
        <v/>
      </c>
      <c r="J23" s="20">
        <f>SUM(J15:J22)</f>
        <v/>
      </c>
      <c r="K23" s="20">
        <f>SUM(K15:K22)</f>
        <v/>
      </c>
      <c r="L23" s="20">
        <f>SUM(L15:L22)</f>
        <v/>
      </c>
      <c r="M23" s="20">
        <f>SUM(M15:M22)</f>
        <v/>
      </c>
      <c r="N23" s="20">
        <f>SUM(N15:N22)</f>
        <v/>
      </c>
      <c r="O23" s="20">
        <f>SUM(O15:O22)</f>
        <v/>
      </c>
      <c r="P23" s="20">
        <f>SUM(P15:P22)</f>
        <v/>
      </c>
      <c r="Q23" s="20">
        <f>SUM(Q15:Q22)</f>
        <v/>
      </c>
      <c r="R23" s="20">
        <f>SUM(R15:R22)</f>
        <v/>
      </c>
      <c r="S23" s="20">
        <f>SUM(S15:S22)</f>
        <v/>
      </c>
      <c r="T23" s="20">
        <f>SUM(T15:T22)</f>
        <v/>
      </c>
      <c r="U23" s="20">
        <f>SUM(U15:U22)</f>
        <v/>
      </c>
    </row>
    <row r="25">
      <c r="B25" s="21" t="inlineStr">
        <is>
          <t>Diferença, se houver (tem que dar zero)</t>
        </is>
      </c>
      <c r="C25" s="17">
        <f>C13-C23</f>
        <v/>
      </c>
      <c r="D25" s="17">
        <f>D13-D23</f>
        <v/>
      </c>
      <c r="E25" s="17">
        <f>E13-E23</f>
        <v/>
      </c>
      <c r="F25" s="17">
        <f>F13-F23</f>
        <v/>
      </c>
      <c r="G25" s="17">
        <f>G13-G23</f>
        <v/>
      </c>
      <c r="H25" s="17">
        <f>H13-H23</f>
        <v/>
      </c>
      <c r="I25" s="17">
        <f>I13-I23</f>
        <v/>
      </c>
      <c r="J25" s="17">
        <f>J13-J23</f>
        <v/>
      </c>
      <c r="K25" s="17">
        <f>K13-K23</f>
        <v/>
      </c>
      <c r="L25" s="17">
        <f>L13-L23</f>
        <v/>
      </c>
      <c r="M25" s="17">
        <f>M13-M23</f>
        <v/>
      </c>
      <c r="N25" s="17">
        <f>N13-N23</f>
        <v/>
      </c>
      <c r="O25" s="17">
        <f>O13-O23</f>
        <v/>
      </c>
      <c r="P25" s="17">
        <f>P13-P23</f>
        <v/>
      </c>
      <c r="Q25" s="17">
        <f>Q13-Q23</f>
        <v/>
      </c>
      <c r="R25" s="17">
        <f>R13-R23</f>
        <v/>
      </c>
      <c r="S25" s="17">
        <f>S13-S23</f>
        <v/>
      </c>
      <c r="T25" s="17">
        <f>T13-T23</f>
        <v/>
      </c>
      <c r="U25" s="17">
        <f>U13-U23</f>
        <v/>
      </c>
    </row>
    <row r="27">
      <c r="B27" s="13" t="inlineStr">
        <is>
          <t>Demonstração do Resultado</t>
        </is>
      </c>
      <c r="D27" s="3" t="n">
        <v>1</v>
      </c>
      <c r="E27" s="3" t="n">
        <v>2</v>
      </c>
      <c r="F27" s="3" t="n">
        <v>3</v>
      </c>
      <c r="G27" s="3" t="n">
        <v>4</v>
      </c>
      <c r="H27" s="3" t="n">
        <v>5</v>
      </c>
      <c r="I27" s="3" t="n">
        <v>6</v>
      </c>
      <c r="J27" s="3" t="n">
        <v>7</v>
      </c>
      <c r="K27" s="3" t="n">
        <v>8</v>
      </c>
      <c r="L27" s="3" t="n">
        <v>9</v>
      </c>
      <c r="M27" s="3" t="n">
        <v>10</v>
      </c>
      <c r="N27" s="3" t="n">
        <v>11</v>
      </c>
      <c r="O27" s="3" t="n">
        <v>12</v>
      </c>
      <c r="P27" s="3" t="n">
        <v>13</v>
      </c>
      <c r="Q27" s="3" t="n">
        <v>14</v>
      </c>
      <c r="R27" s="3" t="n">
        <v>15</v>
      </c>
      <c r="S27" s="3" t="n">
        <v>16</v>
      </c>
      <c r="T27" s="3" t="n">
        <v>17</v>
      </c>
      <c r="U27" s="13" t="inlineStr">
        <is>
          <t>Ano 4</t>
        </is>
      </c>
      <c r="W27" s="22" t="inlineStr">
        <is>
          <t>Check</t>
        </is>
      </c>
    </row>
    <row r="28">
      <c r="B28" t="inlineStr">
        <is>
          <t>Receita de Fretes</t>
        </is>
      </c>
      <c r="D28" s="9" t="n">
        <v>920</v>
      </c>
      <c r="E28" s="9" t="n"/>
      <c r="F28" s="9" t="n"/>
      <c r="G28" s="9" t="n"/>
      <c r="H28" s="9" t="n"/>
      <c r="I28" s="9" t="n"/>
      <c r="J28" s="9" t="n"/>
      <c r="K28" s="9" t="n"/>
      <c r="L28" s="9" t="n"/>
      <c r="M28" s="9" t="n"/>
      <c r="N28" s="9" t="n"/>
      <c r="O28" s="9" t="n"/>
      <c r="P28" s="9" t="n"/>
      <c r="Q28" s="9" t="n"/>
      <c r="R28" s="9" t="n"/>
      <c r="S28" s="9" t="n"/>
      <c r="T28" s="9" t="n"/>
      <c r="U28" s="17">
        <f>SUM(D28:T28)</f>
        <v/>
      </c>
    </row>
    <row r="29">
      <c r="B29" t="inlineStr">
        <is>
          <t>(-) Custo dos Serviços Prestados</t>
        </is>
      </c>
      <c r="D29" s="9" t="n"/>
      <c r="E29" s="9" t="n">
        <v>-45</v>
      </c>
      <c r="F29" s="9" t="n">
        <v>-540</v>
      </c>
      <c r="G29" s="9" t="n"/>
      <c r="H29" s="9" t="n"/>
      <c r="I29" s="9" t="n"/>
      <c r="J29" s="9" t="n"/>
      <c r="K29" s="9" t="n"/>
      <c r="L29" s="9" t="n"/>
      <c r="M29" s="9" t="n"/>
      <c r="N29" s="9" t="n"/>
      <c r="O29" s="9" t="n"/>
      <c r="P29" s="9" t="n"/>
      <c r="Q29" s="9" t="n"/>
      <c r="R29" s="9" t="n"/>
      <c r="S29" s="9" t="n"/>
      <c r="T29" s="9" t="n"/>
      <c r="U29" s="17">
        <f>SUM(D29:T29)</f>
        <v/>
      </c>
    </row>
    <row r="30">
      <c r="B30" s="19" t="inlineStr">
        <is>
          <t xml:space="preserve">     (=) Lucro Bruto</t>
        </is>
      </c>
      <c r="D30" s="20">
        <f>SUM(D28:D29)</f>
        <v/>
      </c>
      <c r="E30" s="20">
        <f>SUM(E28:E29)</f>
        <v/>
      </c>
      <c r="F30" s="20">
        <f>SUM(F28:F29)</f>
        <v/>
      </c>
      <c r="G30" s="20">
        <f>SUM(G28:G29)</f>
        <v/>
      </c>
      <c r="H30" s="20">
        <f>SUM(H28:H29)</f>
        <v/>
      </c>
      <c r="I30" s="20">
        <f>SUM(I28:I29)</f>
        <v/>
      </c>
      <c r="J30" s="20">
        <f>SUM(J28:J29)</f>
        <v/>
      </c>
      <c r="K30" s="20">
        <f>SUM(K28:K29)</f>
        <v/>
      </c>
      <c r="L30" s="20">
        <f>SUM(L28:L29)</f>
        <v/>
      </c>
      <c r="M30" s="20">
        <f>SUM(M28:M29)</f>
        <v/>
      </c>
      <c r="N30" s="20">
        <f>SUM(N28:N29)</f>
        <v/>
      </c>
      <c r="O30" s="20">
        <f>SUM(O28:O29)</f>
        <v/>
      </c>
      <c r="P30" s="20">
        <f>SUM(P28:P29)</f>
        <v/>
      </c>
      <c r="Q30" s="20">
        <f>SUM(Q28:Q29)</f>
        <v/>
      </c>
      <c r="R30" s="20">
        <f>SUM(R28:R29)</f>
        <v/>
      </c>
      <c r="S30" s="20">
        <f>SUM(S28:S29)</f>
        <v/>
      </c>
      <c r="T30" s="20">
        <f>SUM(T28:T29)</f>
        <v/>
      </c>
      <c r="U30" s="20">
        <f>SUM(U28:U29)</f>
        <v/>
      </c>
    </row>
    <row r="31">
      <c r="B31" t="inlineStr">
        <is>
          <t>(-) Despesas Administrativas</t>
        </is>
      </c>
      <c r="D31" s="9" t="n"/>
      <c r="E31" s="9" t="n"/>
      <c r="F31" s="9" t="n"/>
      <c r="G31" s="9" t="n"/>
      <c r="H31" s="9" t="n"/>
      <c r="I31" s="9" t="n"/>
      <c r="J31" s="9" t="n"/>
      <c r="K31" s="9" t="n"/>
      <c r="L31" s="9" t="n"/>
      <c r="M31" s="9" t="n"/>
      <c r="N31" s="9" t="n"/>
      <c r="O31" s="9" t="n"/>
      <c r="P31" s="9" t="n"/>
      <c r="Q31" s="9" t="n">
        <v>-110</v>
      </c>
      <c r="R31" s="9" t="n"/>
      <c r="S31" s="9" t="n"/>
      <c r="T31" s="9" t="n"/>
      <c r="U31" s="17">
        <f>SUM(D31:T31)</f>
        <v/>
      </c>
    </row>
    <row r="32">
      <c r="B32" t="inlineStr">
        <is>
          <t>(-) Depreciação</t>
        </is>
      </c>
      <c r="D32" s="9" t="n"/>
      <c r="E32" s="9" t="n"/>
      <c r="F32" s="9" t="n"/>
      <c r="G32" s="9" t="n"/>
      <c r="H32" s="9" t="n"/>
      <c r="I32" s="9" t="n"/>
      <c r="J32" s="9" t="n"/>
      <c r="K32" s="9" t="n">
        <v>-70</v>
      </c>
      <c r="L32" s="9" t="n"/>
      <c r="M32" s="9" t="n"/>
      <c r="N32" s="9" t="n"/>
      <c r="O32" s="9" t="n"/>
      <c r="P32" s="9" t="n"/>
      <c r="Q32" s="9" t="n"/>
      <c r="R32" s="9" t="n"/>
      <c r="S32" s="9" t="n"/>
      <c r="T32" s="9" t="n"/>
      <c r="U32" s="17">
        <f>SUM(D32:T32)</f>
        <v/>
      </c>
    </row>
    <row r="33">
      <c r="B33" t="inlineStr">
        <is>
          <t>(-) Perda com Estoque Obsoleto</t>
        </is>
      </c>
      <c r="D33" s="9" t="n"/>
      <c r="E33" s="9" t="n"/>
      <c r="F33" s="9" t="n"/>
      <c r="G33" s="9" t="n"/>
      <c r="H33" s="9" t="n"/>
      <c r="I33" s="9" t="n"/>
      <c r="J33" s="9" t="n"/>
      <c r="K33" s="9" t="n"/>
      <c r="L33" s="9" t="n">
        <v>-12</v>
      </c>
      <c r="M33" s="9" t="n"/>
      <c r="N33" s="9" t="n"/>
      <c r="O33" s="9" t="n"/>
      <c r="P33" s="9" t="n"/>
      <c r="Q33" s="9" t="n"/>
      <c r="R33" s="9" t="n"/>
      <c r="S33" s="9" t="n"/>
      <c r="T33" s="9" t="n"/>
      <c r="U33" s="17">
        <f>SUM(D33:T33)</f>
        <v/>
      </c>
    </row>
    <row r="34">
      <c r="B34" t="inlineStr">
        <is>
          <t>(-) Despesa com Devedores Duvidosos</t>
        </is>
      </c>
      <c r="D34" s="9" t="n"/>
      <c r="E34" s="9" t="n"/>
      <c r="F34" s="9" t="n"/>
      <c r="G34" s="9" t="n"/>
      <c r="H34" s="9" t="n"/>
      <c r="I34" s="9" t="n"/>
      <c r="J34" s="9" t="n"/>
      <c r="K34" s="9" t="n"/>
      <c r="L34" s="9" t="n"/>
      <c r="M34" s="9" t="n">
        <v>-18</v>
      </c>
      <c r="N34" s="9" t="n"/>
      <c r="O34" s="9" t="n"/>
      <c r="P34" s="9" t="n"/>
      <c r="Q34" s="9" t="n"/>
      <c r="R34" s="9" t="n"/>
      <c r="S34" s="9" t="n"/>
      <c r="T34" s="9" t="n"/>
      <c r="U34" s="17">
        <f>SUM(D34:T34)</f>
        <v/>
      </c>
    </row>
    <row r="35">
      <c r="B35" t="inlineStr">
        <is>
          <t>(+/-) Resultado na Venda de Imobilizado</t>
        </is>
      </c>
      <c r="D35" s="9" t="n"/>
      <c r="E35" s="9" t="n"/>
      <c r="F35" s="9" t="n"/>
      <c r="G35" s="9" t="n"/>
      <c r="H35" s="9" t="n">
        <v>20</v>
      </c>
      <c r="I35" s="9" t="n">
        <v>-15</v>
      </c>
      <c r="J35" s="9" t="n"/>
      <c r="K35" s="9" t="n"/>
      <c r="L35" s="9" t="n"/>
      <c r="M35" s="9" t="n"/>
      <c r="N35" s="9" t="n"/>
      <c r="O35" s="9" t="n"/>
      <c r="P35" s="9" t="n"/>
      <c r="Q35" s="9" t="n"/>
      <c r="R35" s="9" t="n"/>
      <c r="S35" s="9" t="n"/>
      <c r="T35" s="9" t="n"/>
      <c r="U35" s="17">
        <f>SUM(D35:T35)</f>
        <v/>
      </c>
    </row>
    <row r="36">
      <c r="B36" s="19" t="inlineStr">
        <is>
          <t xml:space="preserve">     (=) EBIT</t>
        </is>
      </c>
      <c r="D36" s="20">
        <f>SUM(D30:D35)</f>
        <v/>
      </c>
      <c r="E36" s="20">
        <f>SUM(E30:E35)</f>
        <v/>
      </c>
      <c r="F36" s="20">
        <f>SUM(F30:F35)</f>
        <v/>
      </c>
      <c r="G36" s="20">
        <f>SUM(G30:G35)</f>
        <v/>
      </c>
      <c r="H36" s="20">
        <f>SUM(H30:H35)</f>
        <v/>
      </c>
      <c r="I36" s="20">
        <f>SUM(I30:I35)</f>
        <v/>
      </c>
      <c r="J36" s="20">
        <f>SUM(J30:J35)</f>
        <v/>
      </c>
      <c r="K36" s="20">
        <f>SUM(K30:K35)</f>
        <v/>
      </c>
      <c r="L36" s="20">
        <f>SUM(L30:L35)</f>
        <v/>
      </c>
      <c r="M36" s="20">
        <f>SUM(M30:M35)</f>
        <v/>
      </c>
      <c r="N36" s="20">
        <f>SUM(N30:N35)</f>
        <v/>
      </c>
      <c r="O36" s="20">
        <f>SUM(O30:O35)</f>
        <v/>
      </c>
      <c r="P36" s="20">
        <f>SUM(P30:P35)</f>
        <v/>
      </c>
      <c r="Q36" s="20">
        <f>SUM(Q30:Q35)</f>
        <v/>
      </c>
      <c r="R36" s="20">
        <f>SUM(R30:R35)</f>
        <v/>
      </c>
      <c r="S36" s="20">
        <f>SUM(S30:S35)</f>
        <v/>
      </c>
      <c r="T36" s="20">
        <f>SUM(T30:T35)</f>
        <v/>
      </c>
      <c r="U36" s="20">
        <f>SUM(U30:U35)</f>
        <v/>
      </c>
    </row>
    <row r="37">
      <c r="B37" t="inlineStr">
        <is>
          <t>(+/-) Resultado Financeiro</t>
        </is>
      </c>
      <c r="D37" s="9" t="n"/>
      <c r="E37" s="9" t="n"/>
      <c r="F37" s="9" t="n"/>
      <c r="G37" s="9" t="n"/>
      <c r="H37" s="9" t="n"/>
      <c r="I37" s="9" t="n"/>
      <c r="J37" s="9" t="n"/>
      <c r="K37" s="9" t="n"/>
      <c r="L37" s="9" t="n"/>
      <c r="M37" s="9" t="n"/>
      <c r="N37" s="9" t="n"/>
      <c r="O37" s="9" t="n"/>
      <c r="P37" s="9" t="n"/>
      <c r="Q37" s="9" t="n"/>
      <c r="R37" s="9" t="n">
        <v>-20</v>
      </c>
      <c r="S37" s="9" t="n"/>
      <c r="T37" s="9" t="n"/>
      <c r="U37" s="17">
        <f>SUM(D37:T37)</f>
        <v/>
      </c>
    </row>
    <row r="38">
      <c r="B38" s="19" t="inlineStr">
        <is>
          <t xml:space="preserve">     (=) LAIR</t>
        </is>
      </c>
      <c r="D38" s="20">
        <f>SUM(D36:D37)</f>
        <v/>
      </c>
      <c r="E38" s="20">
        <f>SUM(E36:E37)</f>
        <v/>
      </c>
      <c r="F38" s="20">
        <f>SUM(F36:F37)</f>
        <v/>
      </c>
      <c r="G38" s="20">
        <f>SUM(G36:G37)</f>
        <v/>
      </c>
      <c r="H38" s="20">
        <f>SUM(H36:H37)</f>
        <v/>
      </c>
      <c r="I38" s="20">
        <f>SUM(I36:I37)</f>
        <v/>
      </c>
      <c r="J38" s="20">
        <f>SUM(J36:J37)</f>
        <v/>
      </c>
      <c r="K38" s="20">
        <f>SUM(K36:K37)</f>
        <v/>
      </c>
      <c r="L38" s="20">
        <f>SUM(L36:L37)</f>
        <v/>
      </c>
      <c r="M38" s="20">
        <f>SUM(M36:M37)</f>
        <v/>
      </c>
      <c r="N38" s="20">
        <f>SUM(N36:N37)</f>
        <v/>
      </c>
      <c r="O38" s="20">
        <f>SUM(O36:O37)</f>
        <v/>
      </c>
      <c r="P38" s="20">
        <f>SUM(P36:P37)</f>
        <v/>
      </c>
      <c r="Q38" s="20">
        <f>SUM(Q36:Q37)</f>
        <v/>
      </c>
      <c r="R38" s="20">
        <f>SUM(R36:R37)</f>
        <v/>
      </c>
      <c r="S38" s="20">
        <f>SUM(S36:S37)</f>
        <v/>
      </c>
      <c r="T38" s="20">
        <f>SUM(T36:T37)</f>
        <v/>
      </c>
      <c r="U38" s="20">
        <f>SUM(U36:U37)</f>
        <v/>
      </c>
    </row>
    <row r="39">
      <c r="B39" t="inlineStr">
        <is>
          <t>(-) IR e CSLL</t>
        </is>
      </c>
      <c r="D39" s="9" t="n"/>
      <c r="E39" s="9" t="n"/>
      <c r="F39" s="9" t="n"/>
      <c r="G39" s="9" t="n"/>
      <c r="H39" s="9" t="n"/>
      <c r="I39" s="9" t="n"/>
      <c r="J39" s="9" t="n"/>
      <c r="K39" s="9" t="n"/>
      <c r="L39" s="9" t="n"/>
      <c r="M39" s="9" t="n"/>
      <c r="N39" s="9" t="n"/>
      <c r="O39" s="9" t="n"/>
      <c r="P39" s="9" t="n"/>
      <c r="Q39" s="9" t="n"/>
      <c r="R39" s="9" t="n"/>
      <c r="S39" s="9" t="n">
        <v>-33</v>
      </c>
      <c r="T39" s="9" t="n"/>
      <c r="U39" s="17">
        <f>SUM(D39:T39)</f>
        <v/>
      </c>
    </row>
    <row r="40">
      <c r="B40" s="19" t="inlineStr">
        <is>
          <t xml:space="preserve">     (=) Lucro Líquido</t>
        </is>
      </c>
      <c r="D40" s="20">
        <f>SUM(D38:D39)</f>
        <v/>
      </c>
      <c r="E40" s="20">
        <f>SUM(E38:E39)</f>
        <v/>
      </c>
      <c r="F40" s="20">
        <f>SUM(F38:F39)</f>
        <v/>
      </c>
      <c r="G40" s="20">
        <f>SUM(G38:G39)</f>
        <v/>
      </c>
      <c r="H40" s="20">
        <f>SUM(H38:H39)</f>
        <v/>
      </c>
      <c r="I40" s="20">
        <f>SUM(I38:I39)</f>
        <v/>
      </c>
      <c r="J40" s="20">
        <f>SUM(J38:J39)</f>
        <v/>
      </c>
      <c r="K40" s="20">
        <f>SUM(K38:K39)</f>
        <v/>
      </c>
      <c r="L40" s="20">
        <f>SUM(L38:L39)</f>
        <v/>
      </c>
      <c r="M40" s="20">
        <f>SUM(M38:M39)</f>
        <v/>
      </c>
      <c r="N40" s="20">
        <f>SUM(N38:N39)</f>
        <v/>
      </c>
      <c r="O40" s="20">
        <f>SUM(O38:O39)</f>
        <v/>
      </c>
      <c r="P40" s="20">
        <f>SUM(P38:P39)</f>
        <v/>
      </c>
      <c r="Q40" s="20">
        <f>SUM(Q38:Q39)</f>
        <v/>
      </c>
      <c r="R40" s="20">
        <f>SUM(R38:R39)</f>
        <v/>
      </c>
      <c r="S40" s="20">
        <f>SUM(S38:S39)</f>
        <v/>
      </c>
      <c r="T40" s="20">
        <f>SUM(T38:T39)</f>
        <v/>
      </c>
      <c r="U40" s="20">
        <f>SUM(U38:U39)</f>
        <v/>
      </c>
    </row>
    <row r="42">
      <c r="B42" s="13" t="inlineStr">
        <is>
          <t>Demonstração dos Fluxos de Caixa</t>
        </is>
      </c>
      <c r="D42" s="3" t="n">
        <v>1</v>
      </c>
      <c r="E42" s="3" t="n">
        <v>2</v>
      </c>
      <c r="F42" s="3" t="n">
        <v>3</v>
      </c>
      <c r="G42" s="3" t="n">
        <v>4</v>
      </c>
      <c r="H42" s="3" t="n">
        <v>5</v>
      </c>
      <c r="I42" s="3" t="n">
        <v>6</v>
      </c>
      <c r="J42" s="3" t="n">
        <v>7</v>
      </c>
      <c r="K42" s="3" t="n">
        <v>8</v>
      </c>
      <c r="L42" s="3" t="n">
        <v>9</v>
      </c>
      <c r="M42" s="3" t="n">
        <v>10</v>
      </c>
      <c r="N42" s="3" t="n">
        <v>11</v>
      </c>
      <c r="O42" s="3" t="n">
        <v>12</v>
      </c>
      <c r="P42" s="3" t="n">
        <v>13</v>
      </c>
      <c r="Q42" s="3" t="n">
        <v>14</v>
      </c>
      <c r="R42" s="3" t="n">
        <v>15</v>
      </c>
      <c r="S42" s="3" t="n">
        <v>16</v>
      </c>
      <c r="T42" s="3" t="n">
        <v>17</v>
      </c>
      <c r="U42" s="13" t="inlineStr">
        <is>
          <t>Ano 4</t>
        </is>
      </c>
    </row>
    <row r="43">
      <c r="B43" s="19" t="inlineStr">
        <is>
          <t>OPERAÇÕES</t>
        </is>
      </c>
      <c r="D43" s="20">
        <f>SUM(D44:D49)</f>
        <v/>
      </c>
      <c r="E43" s="20">
        <f>SUM(E44:E49)</f>
        <v/>
      </c>
      <c r="F43" s="20">
        <f>SUM(F44:F49)</f>
        <v/>
      </c>
      <c r="G43" s="20">
        <f>SUM(G44:G49)</f>
        <v/>
      </c>
      <c r="H43" s="20">
        <f>SUM(H44:H49)</f>
        <v/>
      </c>
      <c r="I43" s="20">
        <f>SUM(I44:I49)</f>
        <v/>
      </c>
      <c r="J43" s="20">
        <f>SUM(J44:J49)</f>
        <v/>
      </c>
      <c r="K43" s="20">
        <f>SUM(K44:K49)</f>
        <v/>
      </c>
      <c r="L43" s="20">
        <f>SUM(L44:L49)</f>
        <v/>
      </c>
      <c r="M43" s="20">
        <f>SUM(M44:M49)</f>
        <v/>
      </c>
      <c r="N43" s="20">
        <f>SUM(N44:N49)</f>
        <v/>
      </c>
      <c r="O43" s="20">
        <f>SUM(O44:O49)</f>
        <v/>
      </c>
      <c r="P43" s="20">
        <f>SUM(P44:P49)</f>
        <v/>
      </c>
      <c r="Q43" s="20">
        <f>SUM(Q44:Q49)</f>
        <v/>
      </c>
      <c r="R43" s="20">
        <f>SUM(R44:R49)</f>
        <v/>
      </c>
      <c r="S43" s="20">
        <f>SUM(S44:S49)</f>
        <v/>
      </c>
      <c r="T43" s="20">
        <f>SUM(T44:T49)</f>
        <v/>
      </c>
      <c r="U43" s="20">
        <f>SUM(U44:U49)</f>
        <v/>
      </c>
    </row>
    <row r="44">
      <c r="B44" t="inlineStr">
        <is>
          <t>Recebimentos de Clientes</t>
        </is>
      </c>
      <c r="D44" s="9" t="n">
        <v>620</v>
      </c>
      <c r="E44" s="9" t="n"/>
      <c r="F44" s="9" t="n"/>
      <c r="G44" s="9" t="n"/>
      <c r="H44" s="9" t="n"/>
      <c r="I44" s="9" t="n"/>
      <c r="J44" s="9" t="n"/>
      <c r="K44" s="9" t="n"/>
      <c r="L44" s="9" t="n"/>
      <c r="M44" s="9" t="n"/>
      <c r="N44" s="9" t="n"/>
      <c r="O44" s="9" t="n">
        <v>240</v>
      </c>
      <c r="P44" s="9" t="n"/>
      <c r="Q44" s="9" t="n"/>
      <c r="R44" s="9" t="n"/>
      <c r="S44" s="9" t="n"/>
      <c r="T44" s="9" t="n"/>
      <c r="U44" s="17">
        <f>SUM(D44:T44)</f>
        <v/>
      </c>
    </row>
    <row r="45">
      <c r="B45" t="inlineStr">
        <is>
          <t>Pagamentos de Custos Operacionais</t>
        </is>
      </c>
      <c r="D45" s="9" t="n"/>
      <c r="E45" s="9" t="n"/>
      <c r="F45" s="9" t="n">
        <v>-540</v>
      </c>
      <c r="G45" s="9" t="n"/>
      <c r="H45" s="9" t="n"/>
      <c r="I45" s="9" t="n"/>
      <c r="J45" s="9" t="n"/>
      <c r="K45" s="9" t="n"/>
      <c r="L45" s="9" t="n"/>
      <c r="M45" s="9" t="n"/>
      <c r="N45" s="9" t="n"/>
      <c r="O45" s="9" t="n"/>
      <c r="P45" s="9" t="n"/>
      <c r="Q45" s="9" t="n"/>
      <c r="R45" s="9" t="n"/>
      <c r="S45" s="9" t="n"/>
      <c r="T45" s="9" t="n"/>
      <c r="U45" s="17">
        <f>SUM(D45:T45)</f>
        <v/>
      </c>
    </row>
    <row r="46">
      <c r="B46" t="inlineStr">
        <is>
          <t>Pagamentos a Fornecedores</t>
        </is>
      </c>
      <c r="D46" s="9" t="n"/>
      <c r="E46" s="9" t="n"/>
      <c r="F46" s="9" t="n"/>
      <c r="G46" s="9" t="n"/>
      <c r="H46" s="9" t="n"/>
      <c r="I46" s="9" t="n"/>
      <c r="J46" s="9" t="n"/>
      <c r="K46" s="9" t="n"/>
      <c r="L46" s="9" t="n"/>
      <c r="M46" s="9" t="n"/>
      <c r="N46" s="9" t="n"/>
      <c r="O46" s="9" t="n"/>
      <c r="P46" s="9" t="n">
        <v>-95</v>
      </c>
      <c r="Q46" s="9" t="n"/>
      <c r="R46" s="9" t="n"/>
      <c r="S46" s="9" t="n"/>
      <c r="T46" s="9" t="n"/>
      <c r="U46" s="17">
        <f>SUM(D46:T46)</f>
        <v/>
      </c>
    </row>
    <row r="47">
      <c r="B47" t="inlineStr">
        <is>
          <t>Pagamentos de Despesas</t>
        </is>
      </c>
      <c r="D47" s="9" t="n"/>
      <c r="E47" s="9" t="n"/>
      <c r="F47" s="9" t="n"/>
      <c r="G47" s="9" t="n"/>
      <c r="H47" s="9" t="n"/>
      <c r="I47" s="9" t="n"/>
      <c r="J47" s="9" t="n"/>
      <c r="K47" s="9" t="n"/>
      <c r="L47" s="9" t="n"/>
      <c r="M47" s="9" t="n"/>
      <c r="N47" s="9" t="n"/>
      <c r="O47" s="9" t="n"/>
      <c r="P47" s="9" t="n"/>
      <c r="Q47" s="9" t="n">
        <v>-110</v>
      </c>
      <c r="R47" s="9" t="n"/>
      <c r="S47" s="9" t="n"/>
      <c r="T47" s="9" t="n"/>
      <c r="U47" s="17">
        <f>SUM(D47:T47)</f>
        <v/>
      </c>
    </row>
    <row r="48">
      <c r="B48" t="inlineStr">
        <is>
          <t>Juros Pagos</t>
        </is>
      </c>
      <c r="D48" s="9" t="n"/>
      <c r="E48" s="9" t="n"/>
      <c r="F48" s="9" t="n"/>
      <c r="G48" s="9" t="n"/>
      <c r="H48" s="9" t="n"/>
      <c r="I48" s="9" t="n"/>
      <c r="J48" s="9" t="n"/>
      <c r="K48" s="9" t="n"/>
      <c r="L48" s="9" t="n"/>
      <c r="M48" s="9" t="n"/>
      <c r="N48" s="9" t="n"/>
      <c r="O48" s="9" t="n"/>
      <c r="P48" s="9" t="n"/>
      <c r="Q48" s="9" t="n"/>
      <c r="R48" s="9" t="n">
        <v>-20</v>
      </c>
      <c r="S48" s="9" t="n"/>
      <c r="T48" s="9" t="n"/>
      <c r="U48" s="17">
        <f>SUM(D48:T48)</f>
        <v/>
      </c>
    </row>
    <row r="49">
      <c r="B49" t="inlineStr">
        <is>
          <t>IR Pago</t>
        </is>
      </c>
      <c r="D49" s="9" t="n"/>
      <c r="E49" s="9" t="n"/>
      <c r="F49" s="9" t="n"/>
      <c r="G49" s="9" t="n"/>
      <c r="H49" s="9" t="n"/>
      <c r="I49" s="9" t="n"/>
      <c r="J49" s="9" t="n"/>
      <c r="K49" s="9" t="n"/>
      <c r="L49" s="9" t="n"/>
      <c r="M49" s="9" t="n"/>
      <c r="N49" s="9" t="n"/>
      <c r="O49" s="9" t="n"/>
      <c r="P49" s="9" t="n"/>
      <c r="Q49" s="9" t="n"/>
      <c r="R49" s="9" t="n"/>
      <c r="S49" s="9" t="n">
        <v>-33</v>
      </c>
      <c r="T49" s="9" t="n"/>
      <c r="U49" s="17">
        <f>SUM(D49:T49)</f>
        <v/>
      </c>
    </row>
    <row r="50">
      <c r="B50" s="19" t="inlineStr">
        <is>
          <t>INVESTIMENTOS</t>
        </is>
      </c>
      <c r="D50" s="20">
        <f>SUM(D51:D52)</f>
        <v/>
      </c>
      <c r="E50" s="20">
        <f>SUM(E51:E52)</f>
        <v/>
      </c>
      <c r="F50" s="20">
        <f>SUM(F51:F52)</f>
        <v/>
      </c>
      <c r="G50" s="20">
        <f>SUM(G51:G52)</f>
        <v/>
      </c>
      <c r="H50" s="20">
        <f>SUM(H51:H52)</f>
        <v/>
      </c>
      <c r="I50" s="20">
        <f>SUM(I51:I52)</f>
        <v/>
      </c>
      <c r="J50" s="20">
        <f>SUM(J51:J52)</f>
        <v/>
      </c>
      <c r="K50" s="20">
        <f>SUM(K51:K52)</f>
        <v/>
      </c>
      <c r="L50" s="20">
        <f>SUM(L51:L52)</f>
        <v/>
      </c>
      <c r="M50" s="20">
        <f>SUM(M51:M52)</f>
        <v/>
      </c>
      <c r="N50" s="20">
        <f>SUM(N51:N52)</f>
        <v/>
      </c>
      <c r="O50" s="20">
        <f>SUM(O51:O52)</f>
        <v/>
      </c>
      <c r="P50" s="20">
        <f>SUM(P51:P52)</f>
        <v/>
      </c>
      <c r="Q50" s="20">
        <f>SUM(Q51:Q52)</f>
        <v/>
      </c>
      <c r="R50" s="20">
        <f>SUM(R51:R52)</f>
        <v/>
      </c>
      <c r="S50" s="20">
        <f>SUM(S51:S52)</f>
        <v/>
      </c>
      <c r="T50" s="20">
        <f>SUM(T51:T52)</f>
        <v/>
      </c>
      <c r="U50" s="20">
        <f>SUM(U51:U52)</f>
        <v/>
      </c>
    </row>
    <row r="51">
      <c r="B51" t="inlineStr">
        <is>
          <t>Venda de Imobilizado</t>
        </is>
      </c>
      <c r="D51" s="9" t="n"/>
      <c r="E51" s="9" t="n"/>
      <c r="F51" s="9" t="n"/>
      <c r="G51" s="9" t="n"/>
      <c r="H51" s="9" t="n">
        <v>50</v>
      </c>
      <c r="I51" s="9" t="n">
        <v>25</v>
      </c>
      <c r="J51" s="9" t="n"/>
      <c r="K51" s="9" t="n"/>
      <c r="L51" s="9" t="n"/>
      <c r="M51" s="9" t="n"/>
      <c r="N51" s="9" t="n"/>
      <c r="O51" s="9" t="n"/>
      <c r="P51" s="9" t="n"/>
      <c r="Q51" s="9" t="n"/>
      <c r="R51" s="9" t="n"/>
      <c r="S51" s="9" t="n"/>
      <c r="T51" s="9" t="n"/>
      <c r="U51" s="17">
        <f>SUM(D51:T51)</f>
        <v/>
      </c>
    </row>
    <row r="52">
      <c r="B52" t="inlineStr">
        <is>
          <t>Aquisição de Imobilizado</t>
        </is>
      </c>
      <c r="D52" s="9" t="n"/>
      <c r="E52" s="9" t="n"/>
      <c r="F52" s="9" t="n"/>
      <c r="G52" s="9" t="n"/>
      <c r="H52" s="9" t="n"/>
      <c r="I52" s="9" t="n"/>
      <c r="J52" s="9" t="n">
        <v>-100</v>
      </c>
      <c r="K52" s="9" t="n"/>
      <c r="L52" s="9" t="n"/>
      <c r="M52" s="9" t="n"/>
      <c r="N52" s="9" t="n"/>
      <c r="O52" s="9" t="n"/>
      <c r="P52" s="9" t="n"/>
      <c r="Q52" s="9" t="n"/>
      <c r="R52" s="9" t="n"/>
      <c r="S52" s="9" t="n"/>
      <c r="T52" s="9" t="n"/>
      <c r="U52" s="17">
        <f>SUM(D52:T52)</f>
        <v/>
      </c>
    </row>
    <row r="53">
      <c r="B53" s="19" t="inlineStr">
        <is>
          <t>FINANCIAMENTOS</t>
        </is>
      </c>
      <c r="D53" s="20">
        <f>SUM(D54:D55)</f>
        <v/>
      </c>
      <c r="E53" s="20">
        <f>SUM(E54:E55)</f>
        <v/>
      </c>
      <c r="F53" s="20">
        <f>SUM(F54:F55)</f>
        <v/>
      </c>
      <c r="G53" s="20">
        <f>SUM(G54:G55)</f>
        <v/>
      </c>
      <c r="H53" s="20">
        <f>SUM(H54:H55)</f>
        <v/>
      </c>
      <c r="I53" s="20">
        <f>SUM(I54:I55)</f>
        <v/>
      </c>
      <c r="J53" s="20">
        <f>SUM(J54:J55)</f>
        <v/>
      </c>
      <c r="K53" s="20">
        <f>SUM(K54:K55)</f>
        <v/>
      </c>
      <c r="L53" s="20">
        <f>SUM(L54:L55)</f>
        <v/>
      </c>
      <c r="M53" s="20">
        <f>SUM(M54:M55)</f>
        <v/>
      </c>
      <c r="N53" s="20">
        <f>SUM(N54:N55)</f>
        <v/>
      </c>
      <c r="O53" s="20">
        <f>SUM(O54:O55)</f>
        <v/>
      </c>
      <c r="P53" s="20">
        <f>SUM(P54:P55)</f>
        <v/>
      </c>
      <c r="Q53" s="20">
        <f>SUM(Q54:Q55)</f>
        <v/>
      </c>
      <c r="R53" s="20">
        <f>SUM(R54:R55)</f>
        <v/>
      </c>
      <c r="S53" s="20">
        <f>SUM(S54:S55)</f>
        <v/>
      </c>
      <c r="T53" s="20">
        <f>SUM(T54:T55)</f>
        <v/>
      </c>
      <c r="U53" s="20">
        <f>SUM(U54:U55)</f>
        <v/>
      </c>
    </row>
    <row r="54">
      <c r="B54" t="inlineStr">
        <is>
          <t>Amortização de Empréstimos</t>
        </is>
      </c>
      <c r="D54" s="9" t="n"/>
      <c r="E54" s="9" t="n"/>
      <c r="F54" s="9" t="n"/>
      <c r="G54" s="9" t="n"/>
      <c r="H54" s="9" t="n"/>
      <c r="I54" s="9" t="n"/>
      <c r="J54" s="9" t="n"/>
      <c r="K54" s="9" t="n"/>
      <c r="L54" s="9" t="n"/>
      <c r="M54" s="9" t="n"/>
      <c r="N54" s="9" t="n"/>
      <c r="O54" s="9" t="n"/>
      <c r="P54" s="9" t="n"/>
      <c r="Q54" s="9" t="n"/>
      <c r="R54" s="9" t="n">
        <v>-40</v>
      </c>
      <c r="S54" s="9" t="n"/>
      <c r="T54" s="9" t="n"/>
      <c r="U54" s="17">
        <f>SUM(D54:T54)</f>
        <v/>
      </c>
    </row>
    <row r="55">
      <c r="B55" t="inlineStr">
        <is>
          <t>Dividendos Pagos</t>
        </is>
      </c>
      <c r="D55" s="9" t="n"/>
      <c r="E55" s="9" t="n"/>
      <c r="F55" s="9" t="n"/>
      <c r="G55" s="9" t="n"/>
      <c r="H55" s="9" t="n"/>
      <c r="I55" s="9" t="n"/>
      <c r="J55" s="9" t="n"/>
      <c r="K55" s="9" t="n"/>
      <c r="L55" s="9" t="n"/>
      <c r="M55" s="9" t="n"/>
      <c r="N55" s="9" t="n"/>
      <c r="O55" s="9" t="n"/>
      <c r="P55" s="9" t="n"/>
      <c r="Q55" s="9" t="n"/>
      <c r="R55" s="9" t="n"/>
      <c r="S55" s="9" t="n"/>
      <c r="T55" s="9" t="n">
        <v>-20</v>
      </c>
      <c r="U55" s="17">
        <f>SUM(D55:T55)</f>
        <v/>
      </c>
    </row>
    <row r="56">
      <c r="B56" s="19" t="inlineStr">
        <is>
          <t>VARIAÇÃO NO CAIXA</t>
        </is>
      </c>
      <c r="D56" s="20">
        <f>D43+D50+D53</f>
        <v/>
      </c>
      <c r="E56" s="20">
        <f>E43+E50+E53</f>
        <v/>
      </c>
      <c r="F56" s="20">
        <f>F43+F50+F53</f>
        <v/>
      </c>
      <c r="G56" s="20">
        <f>G43+G50+G53</f>
        <v/>
      </c>
      <c r="H56" s="20">
        <f>H43+H50+H53</f>
        <v/>
      </c>
      <c r="I56" s="20">
        <f>I43+I50+I53</f>
        <v/>
      </c>
      <c r="J56" s="20">
        <f>J43+J50+J53</f>
        <v/>
      </c>
      <c r="K56" s="20">
        <f>K43+K50+K53</f>
        <v/>
      </c>
      <c r="L56" s="20">
        <f>L43+L50+L53</f>
        <v/>
      </c>
      <c r="M56" s="20">
        <f>M43+M50+M53</f>
        <v/>
      </c>
      <c r="N56" s="20">
        <f>N43+N50+N53</f>
        <v/>
      </c>
      <c r="O56" s="20">
        <f>O43+O50+O53</f>
        <v/>
      </c>
      <c r="P56" s="20">
        <f>P43+P50+P53</f>
        <v/>
      </c>
      <c r="Q56" s="20">
        <f>Q43+Q50+Q53</f>
        <v/>
      </c>
      <c r="R56" s="20">
        <f>R43+R50+R53</f>
        <v/>
      </c>
      <c r="S56" s="20">
        <f>S43+S50+S53</f>
        <v/>
      </c>
      <c r="T56" s="20">
        <f>T43+T50+T53</f>
        <v/>
      </c>
      <c r="U56" s="20">
        <f>U43+U50+U53</f>
        <v/>
      </c>
    </row>
    <row r="57">
      <c r="B57" t="inlineStr">
        <is>
          <t xml:space="preserve">    Saldo inicial de caixa</t>
        </is>
      </c>
      <c r="U57" s="16" t="n">
        <v>60</v>
      </c>
    </row>
    <row r="58">
      <c r="B58" s="19" t="inlineStr">
        <is>
          <t xml:space="preserve">    Saldo final de caixa</t>
        </is>
      </c>
      <c r="U58" s="17">
        <f>U57+U56</f>
        <v/>
      </c>
    </row>
    <row r="60">
      <c r="B60" s="21" t="inlineStr">
        <is>
          <t>Caixa final da DFC menos Caixa do BP (tem que dar zero)</t>
        </is>
      </c>
      <c r="U60" s="17">
        <f>U58-U6</f>
        <v/>
      </c>
    </row>
    <row r="62">
      <c r="B62" s="13" t="inlineStr">
        <is>
          <t>Indicadores (automáticos)</t>
        </is>
      </c>
    </row>
    <row r="63">
      <c r="B63" t="inlineStr">
        <is>
          <t>Margem bruta</t>
        </is>
      </c>
      <c r="U63" s="23">
        <f>IF(U28=0,"",U30/U28)</f>
        <v/>
      </c>
    </row>
    <row r="64">
      <c r="B64" t="inlineStr">
        <is>
          <t>Margem líquida</t>
        </is>
      </c>
      <c r="U64" s="23">
        <f>IF(U28=0,"",U40/U28)</f>
        <v/>
      </c>
    </row>
    <row r="65">
      <c r="B65" t="inlineStr">
        <is>
          <t>% financiado por capital próprio (PL / Ativo)</t>
        </is>
      </c>
      <c r="U65" s="23">
        <f>IF(U13=0,"",SUM(U21:U22)/U13)</f>
        <v/>
      </c>
    </row>
    <row r="66">
      <c r="B66" t="inlineStr">
        <is>
          <t>ROE (LL / PL final)</t>
        </is>
      </c>
      <c r="U66" s="23">
        <f>IF(SUM(U21:U22)=0,"",U40/SUM(U21:U22))</f>
        <v/>
      </c>
    </row>
  </sheetData>
  <mergeCells count="1">
    <mergeCell ref="B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1"/>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46" customWidth="1" min="2" max="2"/>
    <col width="24" customWidth="1" min="3" max="3"/>
    <col width="13" customWidth="1" min="4" max="4"/>
    <col width="3" customWidth="1" min="5" max="5"/>
    <col width="24" customWidth="1" min="6" max="6"/>
    <col width="13" customWidth="1" min="7" max="7"/>
    <col width="3" customWidth="1" min="8" max="8"/>
    <col width="20" customWidth="1" min="9" max="9"/>
    <col width="13" customWidth="1" min="10" max="10"/>
    <col width="8" customWidth="1" min="11" max="11"/>
  </cols>
  <sheetData>
    <row r="1">
      <c r="A1" s="1" t="inlineStr">
        <is>
          <t>Transportadora Rota Sul S.A.  |  Efeito das transações na Equação do Balanço</t>
        </is>
      </c>
    </row>
    <row r="2">
      <c r="A2" s="2" t="inlineStr">
        <is>
          <t>Uma linha por movimento: escreve a conta e o valor, com sinal. Transação que mexe em três contas do mesmo lado usa as três linhas. A coluna Check acusa se aquela transação fechou.</t>
        </is>
      </c>
    </row>
    <row r="4">
      <c r="A4" s="3" t="inlineStr">
        <is>
          <t>Nº</t>
        </is>
      </c>
      <c r="B4" s="3" t="inlineStr">
        <is>
          <t>Descrição</t>
        </is>
      </c>
      <c r="C4" s="3" t="inlineStr">
        <is>
          <t>ATIVO</t>
        </is>
      </c>
      <c r="D4" s="4" t="n"/>
      <c r="E4" s="3" t="inlineStr">
        <is>
          <t>=</t>
        </is>
      </c>
      <c r="F4" s="3" t="inlineStr">
        <is>
          <t>PASSIVO</t>
        </is>
      </c>
      <c r="G4" s="4" t="n"/>
      <c r="H4" s="3" t="inlineStr">
        <is>
          <t>+</t>
        </is>
      </c>
      <c r="I4" s="3" t="inlineStr">
        <is>
          <t>PATRIMÔNIO LÍQUIDO</t>
        </is>
      </c>
      <c r="J4" s="4" t="n"/>
      <c r="K4" s="3" t="inlineStr">
        <is>
          <t>Check</t>
        </is>
      </c>
    </row>
    <row r="5">
      <c r="C5" s="5" t="inlineStr">
        <is>
          <t>conta</t>
        </is>
      </c>
      <c r="D5" s="5" t="inlineStr">
        <is>
          <t>valor</t>
        </is>
      </c>
      <c r="F5" s="5" t="inlineStr">
        <is>
          <t>conta</t>
        </is>
      </c>
      <c r="G5" s="5" t="inlineStr">
        <is>
          <t>valor</t>
        </is>
      </c>
      <c r="I5" s="5" t="inlineStr">
        <is>
          <t>conta</t>
        </is>
      </c>
      <c r="J5" s="5" t="inlineStr">
        <is>
          <t>valor</t>
        </is>
      </c>
    </row>
    <row r="6">
      <c r="A6" s="6" t="n">
        <v>1</v>
      </c>
      <c r="B6" s="7" t="inlineStr">
        <is>
          <t>Receita de fretes do ano: 920, sendo 620 recebidos à vista e 300 a prazo</t>
        </is>
      </c>
      <c r="C6" s="8" t="inlineStr">
        <is>
          <t>Caixa</t>
        </is>
      </c>
      <c r="D6" s="9" t="n">
        <v>620</v>
      </c>
      <c r="E6" s="10" t="inlineStr">
        <is>
          <t>=</t>
        </is>
      </c>
      <c r="F6" s="8" t="n"/>
      <c r="G6" s="9" t="n"/>
      <c r="H6" s="10" t="inlineStr">
        <is>
          <t>+</t>
        </is>
      </c>
      <c r="I6" s="8" t="inlineStr">
        <is>
          <t>Lucros Acumulados</t>
        </is>
      </c>
      <c r="J6" s="9" t="n">
        <v>920</v>
      </c>
      <c r="K6" s="6">
        <f>IF(COUNT(D6:D7,G6:G7,J6:J7)=0,"",IF(SUM(D6:D7)-SUM(G6:G7)-SUM(J6:J7)=0,"✔","✗"))</f>
        <v/>
      </c>
    </row>
    <row r="7">
      <c r="C7" s="8" t="inlineStr">
        <is>
          <t>Contas a Receber</t>
        </is>
      </c>
      <c r="D7" s="9" t="n">
        <v>300</v>
      </c>
      <c r="E7" s="10" t="inlineStr">
        <is>
          <t>=</t>
        </is>
      </c>
      <c r="F7" s="8" t="n"/>
      <c r="G7" s="9" t="n"/>
      <c r="H7" s="10" t="inlineStr">
        <is>
          <t>+</t>
        </is>
      </c>
      <c r="I7" s="8" t="n"/>
      <c r="J7" s="9" t="n"/>
    </row>
    <row r="8">
      <c r="A8" s="6" t="n">
        <v>2</v>
      </c>
      <c r="B8" s="7" t="inlineStr">
        <is>
          <t>Consumo de 45 de peças da oficina nas manutenções da frota</t>
        </is>
      </c>
      <c r="C8" s="8" t="inlineStr">
        <is>
          <t>Estoque de Peças</t>
        </is>
      </c>
      <c r="D8" s="9" t="n">
        <v>-45</v>
      </c>
      <c r="E8" s="10" t="inlineStr">
        <is>
          <t>=</t>
        </is>
      </c>
      <c r="F8" s="8" t="n"/>
      <c r="G8" s="9" t="n"/>
      <c r="H8" s="10" t="inlineStr">
        <is>
          <t>+</t>
        </is>
      </c>
      <c r="I8" s="8" t="inlineStr">
        <is>
          <t>Lucros Acumulados</t>
        </is>
      </c>
      <c r="J8" s="9" t="n">
        <v>-45</v>
      </c>
      <c r="K8" s="6">
        <f>IF(COUNT(D8:D9,G8:G9,J8:J9)=0,"",IF(SUM(D8:D9)-SUM(G8:G9)-SUM(J8:J9)=0,"✔","✗"))</f>
        <v/>
      </c>
    </row>
    <row r="9">
      <c r="C9" s="8" t="n"/>
      <c r="D9" s="9" t="n"/>
      <c r="E9" s="10" t="inlineStr">
        <is>
          <t>=</t>
        </is>
      </c>
      <c r="F9" s="8" t="n"/>
      <c r="G9" s="9" t="n"/>
      <c r="H9" s="10" t="inlineStr">
        <is>
          <t>+</t>
        </is>
      </c>
      <c r="I9" s="8" t="n"/>
      <c r="J9" s="9" t="n"/>
    </row>
    <row r="10">
      <c r="A10" s="6" t="n">
        <v>3</v>
      </c>
      <c r="B10" s="7" t="inlineStr">
        <is>
          <t>Custos de operação pagos à vista (combustível, pedágio e salários de motoristas): 540</t>
        </is>
      </c>
      <c r="C10" s="8" t="inlineStr">
        <is>
          <t>Caixa</t>
        </is>
      </c>
      <c r="D10" s="9" t="n">
        <v>-540</v>
      </c>
      <c r="E10" s="10" t="inlineStr">
        <is>
          <t>=</t>
        </is>
      </c>
      <c r="F10" s="8" t="n"/>
      <c r="G10" s="9" t="n"/>
      <c r="H10" s="10" t="inlineStr">
        <is>
          <t>+</t>
        </is>
      </c>
      <c r="I10" s="8" t="inlineStr">
        <is>
          <t>Lucros Acumulados</t>
        </is>
      </c>
      <c r="J10" s="9" t="n">
        <v>-540</v>
      </c>
      <c r="K10" s="6">
        <f>IF(COUNT(D10:D11,G10:G11,J10:J11)=0,"",IF(SUM(D10:D11)-SUM(G10:G11)-SUM(J10:J11)=0,"✔","✗"))</f>
        <v/>
      </c>
    </row>
    <row r="11">
      <c r="C11" s="8" t="n"/>
      <c r="D11" s="9" t="n"/>
      <c r="E11" s="10" t="inlineStr">
        <is>
          <t>=</t>
        </is>
      </c>
      <c r="F11" s="8" t="n"/>
      <c r="G11" s="9" t="n"/>
      <c r="H11" s="10" t="inlineStr">
        <is>
          <t>+</t>
        </is>
      </c>
      <c r="I11" s="8" t="n"/>
      <c r="J11" s="9" t="n"/>
    </row>
    <row r="12">
      <c r="A12" s="6" t="n">
        <v>4</v>
      </c>
      <c r="B12" s="7" t="inlineStr">
        <is>
          <t>Compra de peças de reposição por 60, integralmente a prazo</t>
        </is>
      </c>
      <c r="C12" s="8" t="inlineStr">
        <is>
          <t>Estoque de Peças</t>
        </is>
      </c>
      <c r="D12" s="9" t="n">
        <v>60</v>
      </c>
      <c r="E12" s="10" t="inlineStr">
        <is>
          <t>=</t>
        </is>
      </c>
      <c r="F12" s="8" t="inlineStr">
        <is>
          <t>Fornecedores</t>
        </is>
      </c>
      <c r="G12" s="9" t="n">
        <v>60</v>
      </c>
      <c r="H12" s="10" t="inlineStr">
        <is>
          <t>+</t>
        </is>
      </c>
      <c r="I12" s="8" t="n"/>
      <c r="J12" s="9" t="n"/>
      <c r="K12" s="6">
        <f>IF(COUNT(D12:D13,G12:G13,J12:J13)=0,"",IF(SUM(D12:D13)-SUM(G12:G13)-SUM(J12:J13)=0,"✔","✗"))</f>
        <v/>
      </c>
    </row>
    <row r="13">
      <c r="C13" s="8" t="n"/>
      <c r="D13" s="9" t="n"/>
      <c r="E13" s="10" t="inlineStr">
        <is>
          <t>=</t>
        </is>
      </c>
      <c r="F13" s="8" t="n"/>
      <c r="G13" s="9" t="n"/>
      <c r="H13" s="10" t="inlineStr">
        <is>
          <t>+</t>
        </is>
      </c>
      <c r="I13" s="8" t="n"/>
      <c r="J13" s="9" t="n"/>
    </row>
    <row r="14">
      <c r="A14" s="6" t="n">
        <v>5</v>
      </c>
      <c r="B14" s="7" t="inlineStr">
        <is>
          <t>Venda à vista de um caminhão por 50. Ele custou 180 e tinha 150 de depreciação acumulada</t>
        </is>
      </c>
      <c r="C14" s="8" t="inlineStr">
        <is>
          <t>Caixa</t>
        </is>
      </c>
      <c r="D14" s="9" t="n">
        <v>50</v>
      </c>
      <c r="E14" s="10" t="inlineStr">
        <is>
          <t>=</t>
        </is>
      </c>
      <c r="F14" s="8" t="n"/>
      <c r="G14" s="9" t="n"/>
      <c r="H14" s="10" t="inlineStr">
        <is>
          <t>+</t>
        </is>
      </c>
      <c r="I14" s="8" t="inlineStr">
        <is>
          <t>Lucros Acumulados</t>
        </is>
      </c>
      <c r="J14" s="9" t="n">
        <v>20</v>
      </c>
      <c r="K14" s="6">
        <f>IF(COUNT(D14:D16,G14:G16,J14:J16)=0,"",IF(SUM(D14:D16)-SUM(G14:G16)-SUM(J14:J16)=0,"✔","✗"))</f>
        <v/>
      </c>
    </row>
    <row r="15">
      <c r="C15" s="8" t="inlineStr">
        <is>
          <t>Imobilizado (frota)</t>
        </is>
      </c>
      <c r="D15" s="9" t="n">
        <v>-180</v>
      </c>
      <c r="E15" s="10" t="inlineStr">
        <is>
          <t>=</t>
        </is>
      </c>
      <c r="F15" s="8" t="n"/>
      <c r="G15" s="9" t="n"/>
      <c r="H15" s="10" t="inlineStr">
        <is>
          <t>+</t>
        </is>
      </c>
      <c r="I15" s="8" t="n"/>
      <c r="J15" s="9" t="n"/>
    </row>
    <row r="16">
      <c r="C16" s="8" t="inlineStr">
        <is>
          <t>(-) Depreciação Acumulada</t>
        </is>
      </c>
      <c r="D16" s="9" t="n">
        <v>150</v>
      </c>
      <c r="E16" s="10" t="inlineStr">
        <is>
          <t>=</t>
        </is>
      </c>
      <c r="F16" s="8" t="n"/>
      <c r="G16" s="9" t="n"/>
      <c r="H16" s="10" t="inlineStr">
        <is>
          <t>+</t>
        </is>
      </c>
      <c r="I16" s="8" t="n"/>
      <c r="J16" s="9" t="n"/>
    </row>
    <row r="17">
      <c r="A17" s="6" t="n">
        <v>6</v>
      </c>
      <c r="B17" s="7" t="inlineStr">
        <is>
          <t>Venda à vista de outro caminhão por 25. Ele custou 120 e tinha 80 de depreciação acumulada</t>
        </is>
      </c>
      <c r="C17" s="8" t="inlineStr">
        <is>
          <t>Caixa</t>
        </is>
      </c>
      <c r="D17" s="9" t="n">
        <v>25</v>
      </c>
      <c r="E17" s="10" t="inlineStr">
        <is>
          <t>=</t>
        </is>
      </c>
      <c r="F17" s="8" t="n"/>
      <c r="G17" s="9" t="n"/>
      <c r="H17" s="10" t="inlineStr">
        <is>
          <t>+</t>
        </is>
      </c>
      <c r="I17" s="8" t="inlineStr">
        <is>
          <t>Lucros Acumulados</t>
        </is>
      </c>
      <c r="J17" s="9" t="n">
        <v>-15</v>
      </c>
      <c r="K17" s="6">
        <f>IF(COUNT(D17:D19,G17:G19,J17:J19)=0,"",IF(SUM(D17:D19)-SUM(G17:G19)-SUM(J17:J19)=0,"✔","✗"))</f>
        <v/>
      </c>
    </row>
    <row r="18">
      <c r="C18" s="8" t="inlineStr">
        <is>
          <t>Imobilizado (frota)</t>
        </is>
      </c>
      <c r="D18" s="9" t="n">
        <v>-120</v>
      </c>
      <c r="E18" s="10" t="inlineStr">
        <is>
          <t>=</t>
        </is>
      </c>
      <c r="F18" s="8" t="n"/>
      <c r="G18" s="9" t="n"/>
      <c r="H18" s="10" t="inlineStr">
        <is>
          <t>+</t>
        </is>
      </c>
      <c r="I18" s="8" t="n"/>
      <c r="J18" s="9" t="n"/>
    </row>
    <row r="19">
      <c r="C19" s="8" t="inlineStr">
        <is>
          <t>(-) Depreciação Acumulada</t>
        </is>
      </c>
      <c r="D19" s="9" t="n">
        <v>80</v>
      </c>
      <c r="E19" s="10" t="inlineStr">
        <is>
          <t>=</t>
        </is>
      </c>
      <c r="F19" s="8" t="n"/>
      <c r="G19" s="9" t="n"/>
      <c r="H19" s="10" t="inlineStr">
        <is>
          <t>+</t>
        </is>
      </c>
      <c r="I19" s="8" t="n"/>
      <c r="J19" s="9" t="n"/>
    </row>
    <row r="20">
      <c r="A20" s="6" t="n">
        <v>7</v>
      </c>
      <c r="B20" s="7" t="inlineStr">
        <is>
          <t>Compra de dois caminhões novos por 260, sendo 100 à vista e 160 financiados em longo prazo</t>
        </is>
      </c>
      <c r="C20" s="8" t="inlineStr">
        <is>
          <t>Caixa</t>
        </is>
      </c>
      <c r="D20" s="9" t="n">
        <v>-100</v>
      </c>
      <c r="E20" s="10" t="inlineStr">
        <is>
          <t>=</t>
        </is>
      </c>
      <c r="F20" s="8" t="inlineStr">
        <is>
          <t>Financiamento a Pagar (LP)</t>
        </is>
      </c>
      <c r="G20" s="9" t="n">
        <v>160</v>
      </c>
      <c r="H20" s="10" t="inlineStr">
        <is>
          <t>+</t>
        </is>
      </c>
      <c r="I20" s="8" t="n"/>
      <c r="J20" s="9" t="n"/>
      <c r="K20" s="6">
        <f>IF(COUNT(D20:D21,G20:G21,J20:J21)=0,"",IF(SUM(D20:D21)-SUM(G20:G21)-SUM(J20:J21)=0,"✔","✗"))</f>
        <v/>
      </c>
    </row>
    <row r="21">
      <c r="C21" s="8" t="inlineStr">
        <is>
          <t>Imobilizado (frota)</t>
        </is>
      </c>
      <c r="D21" s="9" t="n">
        <v>260</v>
      </c>
      <c r="E21" s="10" t="inlineStr">
        <is>
          <t>=</t>
        </is>
      </c>
      <c r="F21" s="8" t="n"/>
      <c r="G21" s="9" t="n"/>
      <c r="H21" s="10" t="inlineStr">
        <is>
          <t>+</t>
        </is>
      </c>
      <c r="I21" s="8" t="n"/>
      <c r="J21" s="9" t="n"/>
    </row>
    <row r="22">
      <c r="A22" s="6" t="n">
        <v>8</v>
      </c>
      <c r="B22" s="7" t="inlineStr">
        <is>
          <t>Depreciação da frota no ano: 70</t>
        </is>
      </c>
      <c r="C22" s="8" t="inlineStr">
        <is>
          <t>(-) Depreciação Acumulada</t>
        </is>
      </c>
      <c r="D22" s="9" t="n">
        <v>-70</v>
      </c>
      <c r="E22" s="10" t="inlineStr">
        <is>
          <t>=</t>
        </is>
      </c>
      <c r="F22" s="8" t="n"/>
      <c r="G22" s="9" t="n"/>
      <c r="H22" s="10" t="inlineStr">
        <is>
          <t>+</t>
        </is>
      </c>
      <c r="I22" s="8" t="inlineStr">
        <is>
          <t>Lucros Acumulados</t>
        </is>
      </c>
      <c r="J22" s="9" t="n">
        <v>-70</v>
      </c>
      <c r="K22" s="6">
        <f>IF(COUNT(D22:D23,G22:G23,J22:J23)=0,"",IF(SUM(D22:D23)-SUM(G22:G23)-SUM(J22:J23)=0,"✔","✗"))</f>
        <v/>
      </c>
    </row>
    <row r="23">
      <c r="C23" s="8" t="n"/>
      <c r="D23" s="9" t="n"/>
      <c r="E23" s="10" t="inlineStr">
        <is>
          <t>=</t>
        </is>
      </c>
      <c r="F23" s="8" t="n"/>
      <c r="G23" s="9" t="n"/>
      <c r="H23" s="10" t="inlineStr">
        <is>
          <t>+</t>
        </is>
      </c>
      <c r="I23" s="8" t="n"/>
      <c r="J23" s="9" t="n"/>
    </row>
    <row r="24">
      <c r="A24" s="6" t="n">
        <v>9</v>
      </c>
      <c r="B24" s="7" t="inlineStr">
        <is>
          <t>Baixa de 12 de peças obsoletas, de modelos que saíram da frota</t>
        </is>
      </c>
      <c r="C24" s="8" t="inlineStr">
        <is>
          <t>Estoque de Peças</t>
        </is>
      </c>
      <c r="D24" s="9" t="n">
        <v>-12</v>
      </c>
      <c r="E24" s="10" t="inlineStr">
        <is>
          <t>=</t>
        </is>
      </c>
      <c r="F24" s="8" t="n"/>
      <c r="G24" s="9" t="n"/>
      <c r="H24" s="10" t="inlineStr">
        <is>
          <t>+</t>
        </is>
      </c>
      <c r="I24" s="8" t="inlineStr">
        <is>
          <t>Lucros Acumulados</t>
        </is>
      </c>
      <c r="J24" s="9" t="n">
        <v>-12</v>
      </c>
      <c r="K24" s="6">
        <f>IF(COUNT(D24:D25,G24:G25,J24:J25)=0,"",IF(SUM(D24:D25)-SUM(G24:G25)-SUM(J24:J25)=0,"✔","✗"))</f>
        <v/>
      </c>
    </row>
    <row r="25">
      <c r="C25" s="8" t="n"/>
      <c r="D25" s="9" t="n"/>
      <c r="E25" s="10" t="inlineStr">
        <is>
          <t>=</t>
        </is>
      </c>
      <c r="F25" s="8" t="n"/>
      <c r="G25" s="9" t="n"/>
      <c r="H25" s="10" t="inlineStr">
        <is>
          <t>+</t>
        </is>
      </c>
      <c r="I25" s="8" t="n"/>
      <c r="J25" s="9" t="n"/>
    </row>
    <row r="26">
      <c r="A26" s="6" t="n">
        <v>10</v>
      </c>
      <c r="B26" s="7" t="inlineStr">
        <is>
          <t>Constituição de provisão para devedores duvidosos: 18</t>
        </is>
      </c>
      <c r="C26" s="8" t="inlineStr">
        <is>
          <t>(-) Provisão p/ Devedores Duvidosos</t>
        </is>
      </c>
      <c r="D26" s="9" t="n">
        <v>-18</v>
      </c>
      <c r="E26" s="10" t="inlineStr">
        <is>
          <t>=</t>
        </is>
      </c>
      <c r="F26" s="8" t="n"/>
      <c r="G26" s="9" t="n"/>
      <c r="H26" s="10" t="inlineStr">
        <is>
          <t>+</t>
        </is>
      </c>
      <c r="I26" s="8" t="inlineStr">
        <is>
          <t>Lucros Acumulados</t>
        </is>
      </c>
      <c r="J26" s="9" t="n">
        <v>-18</v>
      </c>
      <c r="K26" s="6">
        <f>IF(COUNT(D26:D27,G26:G27,J26:J27)=0,"",IF(SUM(D26:D27)-SUM(G26:G27)-SUM(J26:J27)=0,"✔","✗"))</f>
        <v/>
      </c>
    </row>
    <row r="27">
      <c r="C27" s="8" t="n"/>
      <c r="D27" s="9" t="n"/>
      <c r="E27" s="10" t="inlineStr">
        <is>
          <t>=</t>
        </is>
      </c>
      <c r="F27" s="8" t="n"/>
      <c r="G27" s="9" t="n"/>
      <c r="H27" s="10" t="inlineStr">
        <is>
          <t>+</t>
        </is>
      </c>
      <c r="I27" s="8" t="n"/>
      <c r="J27" s="9" t="n"/>
    </row>
    <row r="28">
      <c r="A28" s="6" t="n">
        <v>11</v>
      </c>
      <c r="B28" s="7" t="inlineStr">
        <is>
          <t>Baixa definitiva de um cliente incobrável de 14, consumindo a provisão já constituída</t>
        </is>
      </c>
      <c r="C28" s="8" t="inlineStr">
        <is>
          <t>Contas a Receber</t>
        </is>
      </c>
      <c r="D28" s="9" t="n">
        <v>-14</v>
      </c>
      <c r="E28" s="10" t="inlineStr">
        <is>
          <t>=</t>
        </is>
      </c>
      <c r="F28" s="8" t="n"/>
      <c r="G28" s="9" t="n"/>
      <c r="H28" s="10" t="inlineStr">
        <is>
          <t>+</t>
        </is>
      </c>
      <c r="I28" s="8" t="n"/>
      <c r="J28" s="9" t="n"/>
      <c r="K28" s="6">
        <f>IF(COUNT(D28:D29,G28:G29,J28:J29)=0,"",IF(SUM(D28:D29)-SUM(G28:G29)-SUM(J28:J29)=0,"✔","✗"))</f>
        <v/>
      </c>
    </row>
    <row r="29">
      <c r="C29" s="8" t="inlineStr">
        <is>
          <t>(-) Provisão p/ Devedores Duvidosos</t>
        </is>
      </c>
      <c r="D29" s="9" t="n">
        <v>14</v>
      </c>
      <c r="E29" s="10" t="inlineStr">
        <is>
          <t>=</t>
        </is>
      </c>
      <c r="F29" s="8" t="n"/>
      <c r="G29" s="9" t="n"/>
      <c r="H29" s="10" t="inlineStr">
        <is>
          <t>+</t>
        </is>
      </c>
      <c r="I29" s="8" t="n"/>
      <c r="J29" s="9" t="n"/>
    </row>
    <row r="30">
      <c r="A30" s="6" t="n">
        <v>12</v>
      </c>
      <c r="B30" s="7" t="inlineStr">
        <is>
          <t>Recebimento de 240 de clientes</t>
        </is>
      </c>
      <c r="C30" s="8" t="inlineStr">
        <is>
          <t>Caixa</t>
        </is>
      </c>
      <c r="D30" s="9" t="n">
        <v>240</v>
      </c>
      <c r="E30" s="10" t="inlineStr">
        <is>
          <t>=</t>
        </is>
      </c>
      <c r="F30" s="8" t="n"/>
      <c r="G30" s="9" t="n"/>
      <c r="H30" s="10" t="inlineStr">
        <is>
          <t>+</t>
        </is>
      </c>
      <c r="I30" s="8" t="n"/>
      <c r="J30" s="9" t="n"/>
      <c r="K30" s="6">
        <f>IF(COUNT(D30:D31,G30:G31,J30:J31)=0,"",IF(SUM(D30:D31)-SUM(G30:G31)-SUM(J30:J31)=0,"✔","✗"))</f>
        <v/>
      </c>
    </row>
    <row r="31">
      <c r="C31" s="8" t="inlineStr">
        <is>
          <t>Contas a Receber</t>
        </is>
      </c>
      <c r="D31" s="9" t="n">
        <v>-240</v>
      </c>
      <c r="E31" s="10" t="inlineStr">
        <is>
          <t>=</t>
        </is>
      </c>
      <c r="F31" s="8" t="n"/>
      <c r="G31" s="9" t="n"/>
      <c r="H31" s="10" t="inlineStr">
        <is>
          <t>+</t>
        </is>
      </c>
      <c r="I31" s="8" t="n"/>
      <c r="J31" s="9" t="n"/>
    </row>
    <row r="32">
      <c r="A32" s="6" t="n">
        <v>13</v>
      </c>
      <c r="B32" s="7" t="inlineStr">
        <is>
          <t>Pagamento de 95 a fornecedores</t>
        </is>
      </c>
      <c r="C32" s="8" t="inlineStr">
        <is>
          <t>Caixa</t>
        </is>
      </c>
      <c r="D32" s="9" t="n">
        <v>-95</v>
      </c>
      <c r="E32" s="10" t="inlineStr">
        <is>
          <t>=</t>
        </is>
      </c>
      <c r="F32" s="8" t="inlineStr">
        <is>
          <t>Fornecedores</t>
        </is>
      </c>
      <c r="G32" s="9" t="n">
        <v>-95</v>
      </c>
      <c r="H32" s="10" t="inlineStr">
        <is>
          <t>+</t>
        </is>
      </c>
      <c r="I32" s="8" t="n"/>
      <c r="J32" s="9" t="n"/>
      <c r="K32" s="6">
        <f>IF(COUNT(D32:D33,G32:G33,J32:J33)=0,"",IF(SUM(D32:D33)-SUM(G32:G33)-SUM(J32:J33)=0,"✔","✗"))</f>
        <v/>
      </c>
    </row>
    <row r="33">
      <c r="C33" s="8" t="n"/>
      <c r="D33" s="9" t="n"/>
      <c r="E33" s="10" t="inlineStr">
        <is>
          <t>=</t>
        </is>
      </c>
      <c r="F33" s="8" t="n"/>
      <c r="G33" s="9" t="n"/>
      <c r="H33" s="10" t="inlineStr">
        <is>
          <t>+</t>
        </is>
      </c>
      <c r="I33" s="8" t="n"/>
      <c r="J33" s="9" t="n"/>
    </row>
    <row r="34">
      <c r="A34" s="6" t="n">
        <v>14</v>
      </c>
      <c r="B34" s="7" t="inlineStr">
        <is>
          <t>Despesas administrativas do ano: 110, pagas à vista</t>
        </is>
      </c>
      <c r="C34" s="8" t="inlineStr">
        <is>
          <t>Caixa</t>
        </is>
      </c>
      <c r="D34" s="9" t="n">
        <v>-110</v>
      </c>
      <c r="E34" s="10" t="inlineStr">
        <is>
          <t>=</t>
        </is>
      </c>
      <c r="F34" s="8" t="n"/>
      <c r="G34" s="9" t="n"/>
      <c r="H34" s="10" t="inlineStr">
        <is>
          <t>+</t>
        </is>
      </c>
      <c r="I34" s="8" t="inlineStr">
        <is>
          <t>Lucros Acumulados</t>
        </is>
      </c>
      <c r="J34" s="9" t="n">
        <v>-110</v>
      </c>
      <c r="K34" s="6">
        <f>IF(COUNT(D34:D35,G34:G35,J34:J35)=0,"",IF(SUM(D34:D35)-SUM(G34:G35)-SUM(J34:J35)=0,"✔","✗"))</f>
        <v/>
      </c>
    </row>
    <row r="35">
      <c r="C35" s="8" t="n"/>
      <c r="D35" s="9" t="n"/>
      <c r="E35" s="10" t="inlineStr">
        <is>
          <t>=</t>
        </is>
      </c>
      <c r="F35" s="8" t="n"/>
      <c r="G35" s="9" t="n"/>
      <c r="H35" s="10" t="inlineStr">
        <is>
          <t>+</t>
        </is>
      </c>
      <c r="I35" s="8" t="n"/>
      <c r="J35" s="9" t="n"/>
    </row>
    <row r="36">
      <c r="A36" s="6" t="n">
        <v>15</v>
      </c>
      <c r="B36" s="7" t="inlineStr">
        <is>
          <t>Pagamento de 20 de juros e amortização de 40 do principal da dívida</t>
        </is>
      </c>
      <c r="C36" s="8" t="inlineStr">
        <is>
          <t>Caixa</t>
        </is>
      </c>
      <c r="D36" s="9" t="n">
        <v>-60</v>
      </c>
      <c r="E36" s="10" t="inlineStr">
        <is>
          <t>=</t>
        </is>
      </c>
      <c r="F36" s="8" t="inlineStr">
        <is>
          <t>Empréstimos</t>
        </is>
      </c>
      <c r="G36" s="9" t="n">
        <v>-40</v>
      </c>
      <c r="H36" s="10" t="inlineStr">
        <is>
          <t>+</t>
        </is>
      </c>
      <c r="I36" s="8" t="inlineStr">
        <is>
          <t>Lucros Acumulados</t>
        </is>
      </c>
      <c r="J36" s="9" t="n">
        <v>-20</v>
      </c>
      <c r="K36" s="6">
        <f>IF(COUNT(D36:D37,G36:G37,J36:J37)=0,"",IF(SUM(D36:D37)-SUM(G36:G37)-SUM(J36:J37)=0,"✔","✗"))</f>
        <v/>
      </c>
    </row>
    <row r="37">
      <c r="C37" s="8" t="n"/>
      <c r="D37" s="9" t="n"/>
      <c r="E37" s="10" t="inlineStr">
        <is>
          <t>=</t>
        </is>
      </c>
      <c r="F37" s="8" t="n"/>
      <c r="G37" s="9" t="n"/>
      <c r="H37" s="10" t="inlineStr">
        <is>
          <t>+</t>
        </is>
      </c>
      <c r="I37" s="8" t="n"/>
      <c r="J37" s="9" t="n"/>
    </row>
    <row r="38">
      <c r="A38" s="6" t="n">
        <v>16</v>
      </c>
      <c r="B38" s="7" t="inlineStr">
        <is>
          <t>IR e CSLL do ano: 33, pagos integralmente à vista</t>
        </is>
      </c>
      <c r="C38" s="8" t="inlineStr">
        <is>
          <t>Caixa</t>
        </is>
      </c>
      <c r="D38" s="9" t="n">
        <v>-33</v>
      </c>
      <c r="E38" s="10" t="inlineStr">
        <is>
          <t>=</t>
        </is>
      </c>
      <c r="F38" s="8" t="n"/>
      <c r="G38" s="9" t="n"/>
      <c r="H38" s="10" t="inlineStr">
        <is>
          <t>+</t>
        </is>
      </c>
      <c r="I38" s="8" t="inlineStr">
        <is>
          <t>Lucros Acumulados</t>
        </is>
      </c>
      <c r="J38" s="9" t="n">
        <v>-33</v>
      </c>
      <c r="K38" s="6">
        <f>IF(COUNT(D38:D39,G38:G39,J38:J39)=0,"",IF(SUM(D38:D39)-SUM(G38:G39)-SUM(J38:J39)=0,"✔","✗"))</f>
        <v/>
      </c>
    </row>
    <row r="39">
      <c r="C39" s="8" t="n"/>
      <c r="D39" s="9" t="n"/>
      <c r="E39" s="10" t="inlineStr">
        <is>
          <t>=</t>
        </is>
      </c>
      <c r="F39" s="8" t="n"/>
      <c r="G39" s="9" t="n"/>
      <c r="H39" s="10" t="inlineStr">
        <is>
          <t>+</t>
        </is>
      </c>
      <c r="I39" s="8" t="n"/>
      <c r="J39" s="9" t="n"/>
    </row>
    <row r="40">
      <c r="A40" s="6" t="n">
        <v>17</v>
      </c>
      <c r="B40" s="7" t="inlineStr">
        <is>
          <t>Dividendos de 20 declarados e pagos em dinheiro</t>
        </is>
      </c>
      <c r="C40" s="8" t="inlineStr">
        <is>
          <t>Caixa</t>
        </is>
      </c>
      <c r="D40" s="9" t="n">
        <v>-20</v>
      </c>
      <c r="E40" s="10" t="inlineStr">
        <is>
          <t>=</t>
        </is>
      </c>
      <c r="F40" s="8" t="n"/>
      <c r="G40" s="9" t="n"/>
      <c r="H40" s="10" t="inlineStr">
        <is>
          <t>+</t>
        </is>
      </c>
      <c r="I40" s="8" t="inlineStr">
        <is>
          <t>Lucros Acumulados</t>
        </is>
      </c>
      <c r="J40" s="9" t="n">
        <v>-20</v>
      </c>
      <c r="K40" s="6">
        <f>IF(COUNT(D40:D41,G40:G41,J40:J41)=0,"",IF(SUM(D40:D41)-SUM(G40:G41)-SUM(J40:J41)=0,"✔","✗"))</f>
        <v/>
      </c>
    </row>
    <row r="41">
      <c r="C41" s="8" t="n"/>
      <c r="D41" s="9" t="n"/>
      <c r="E41" s="10" t="inlineStr">
        <is>
          <t>=</t>
        </is>
      </c>
      <c r="F41" s="8" t="n"/>
      <c r="G41" s="9" t="n"/>
      <c r="H41" s="10" t="inlineStr">
        <is>
          <t>+</t>
        </is>
      </c>
      <c r="I41" s="8" t="n"/>
      <c r="J41" s="9" t="n"/>
    </row>
  </sheetData>
  <mergeCells count="55">
    <mergeCell ref="F4:G4"/>
    <mergeCell ref="K36:K37"/>
    <mergeCell ref="A24:A25"/>
    <mergeCell ref="K30:K31"/>
    <mergeCell ref="K32:K33"/>
    <mergeCell ref="K26:K27"/>
    <mergeCell ref="B12:B13"/>
    <mergeCell ref="A17:A19"/>
    <mergeCell ref="K17:K19"/>
    <mergeCell ref="B8:B9"/>
    <mergeCell ref="A36:A37"/>
    <mergeCell ref="A6:A7"/>
    <mergeCell ref="K14:K16"/>
    <mergeCell ref="A14:A16"/>
    <mergeCell ref="B38:B39"/>
    <mergeCell ref="C4:D4"/>
    <mergeCell ref="K22:K23"/>
    <mergeCell ref="A12:A13"/>
    <mergeCell ref="A26:A27"/>
    <mergeCell ref="K12:K13"/>
    <mergeCell ref="K40:K41"/>
    <mergeCell ref="B34:B35"/>
    <mergeCell ref="B10:B11"/>
    <mergeCell ref="B28:B29"/>
    <mergeCell ref="B6:B7"/>
    <mergeCell ref="B24:B25"/>
    <mergeCell ref="A40:A41"/>
    <mergeCell ref="A1:D1"/>
    <mergeCell ref="A32:A33"/>
    <mergeCell ref="A8:A9"/>
    <mergeCell ref="A22:A23"/>
    <mergeCell ref="B36:B37"/>
    <mergeCell ref="K8:K9"/>
    <mergeCell ref="A20:A21"/>
    <mergeCell ref="K38:K39"/>
    <mergeCell ref="B20:B21"/>
    <mergeCell ref="A10:A11"/>
    <mergeCell ref="B40:B41"/>
    <mergeCell ref="K34:K35"/>
    <mergeCell ref="B30:B31"/>
    <mergeCell ref="K10:K11"/>
    <mergeCell ref="K28:K29"/>
    <mergeCell ref="B17:B19"/>
    <mergeCell ref="I4:J4"/>
    <mergeCell ref="B32:B33"/>
    <mergeCell ref="A38:A39"/>
    <mergeCell ref="A34:A35"/>
    <mergeCell ref="B22:B23"/>
    <mergeCell ref="A28:A29"/>
    <mergeCell ref="B14:B16"/>
    <mergeCell ref="K6:K7"/>
    <mergeCell ref="K24:K25"/>
    <mergeCell ref="B26:B27"/>
    <mergeCell ref="K20:K21"/>
    <mergeCell ref="A30:A31"/>
  </mergeCells>
  <dataValidations count="3">
    <dataValidation sqref="C6 C7 C8 C9 C10 C11 C12 C13 C14 C15 C16 C17 C18 C19 C20 C21 C22 C23 C24 C25 C26 C27 C28 C29 C30 C31 C32 C33 C34 C35 C36 C37 C38 C39 C40 C41" showDropDown="0" showInputMessage="0" showErrorMessage="0" allowBlank="1" type="list">
      <formula1>"Caixa,Contas a Receber,(-) Provisão p/ Devedores Duvidosos,Estoque de Peças,Imobilizado (frota),(-) Depreciação Acumulada"</formula1>
    </dataValidation>
    <dataValidation sqref="F6 F7 F8 F9 F10 F11 F12 F13 F14 F15 F16 F17 F18 F19 F20 F21 F22 F23 F24 F25 F26 F27 F28 F29 F30 F31 F32 F33 F34 F35 F36 F37 F38 F39 F40 F41" showDropDown="0" showInputMessage="0" showErrorMessage="0" allowBlank="1" type="list">
      <formula1>"Fornecedores,Empréstimos,Financiamento a Pagar (LP)"</formula1>
    </dataValidation>
    <dataValidation sqref="I6 I7 I8 I9 I10 I11 I12 I13 I14 I15 I16 I17 I18 I19 I20 I21 I22 I23 I24 I25 I26 I27 I28 I29 I30 I31 I32 I33 I34 I35 I36 I37 I38 I39 I40 I41" showDropDown="0" showInputMessage="0" showErrorMessage="0" allowBlank="1" type="list">
      <formula1>"Capital Social,Lucros Acumulados"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2026-08-11T20:43:59Z</dcterms:created>
  <dcterms:modified xmlns:dcterms="http://purl.org/dc/terms/" xmlns:xsi="http://www.w3.org/2001/XMLSchema-instance" xsi:type="dcterms:W3CDTF">2026-08-11T20:44:00Z</dcterms:modified>
</cp:coreProperties>
</file>