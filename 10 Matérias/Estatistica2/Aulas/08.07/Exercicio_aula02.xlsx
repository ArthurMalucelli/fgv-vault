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cen-my.sharepoint.com/personal/fernando_chertman_bcb_gov_br/Documents/Área de Trabalho/"/>
    </mc:Choice>
  </mc:AlternateContent>
  <xr:revisionPtr revIDLastSave="0" documentId="8_{399B64D3-D404-49DF-A075-1AF7D20E4DC7}" xr6:coauthVersionLast="47" xr6:coauthVersionMax="47" xr10:uidLastSave="{00000000-0000-0000-0000-000000000000}"/>
  <bookViews>
    <workbookView xWindow="-21720" yWindow="2520" windowWidth="21840" windowHeight="13020" xr2:uid="{DD042C5F-4CA5-483A-9D52-E30A2C9A5FC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3" i="1"/>
  <c r="D6" i="1"/>
  <c r="D4" i="1"/>
  <c r="D2" i="1"/>
  <c r="D8" i="1" l="1"/>
  <c r="D11" i="1" s="1"/>
</calcChain>
</file>

<file path=xl/sharedStrings.xml><?xml version="1.0" encoding="utf-8"?>
<sst xmlns="http://schemas.openxmlformats.org/spreadsheetml/2006/main" count="11" uniqueCount="11">
  <si>
    <t>mean</t>
  </si>
  <si>
    <t>sd</t>
  </si>
  <si>
    <t>s_error</t>
  </si>
  <si>
    <t>n</t>
  </si>
  <si>
    <t>df</t>
  </si>
  <si>
    <t>t_estat</t>
  </si>
  <si>
    <t>t_crítico</t>
  </si>
  <si>
    <t>p-valor</t>
  </si>
  <si>
    <t>alpha</t>
  </si>
  <si>
    <t>Data</t>
  </si>
  <si>
    <t>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</si>
</sst>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43" fontId="1" fillId="0" borderId="0" xfId="1" applyFont="1" applyAlignment="1">
      <alignment vertical="center"/>
    </xf>
    <xf numFmtId="43" fontId="1" fillId="0" borderId="0" xfId="1" applyFont="1"/>
    <xf numFmtId="0" fontId="1" fillId="0" borderId="0" xfId="0" applyFont="1"/>
    <xf numFmtId="164" fontId="1" fillId="0" borderId="0" xfId="1" applyNumberFormat="1" applyFont="1"/>
    <xf numFmtId="164" fontId="1" fillId="0" borderId="0" xfId="0" applyNumberFormat="1" applyFont="1"/>
    <xf numFmtId="10" fontId="1" fillId="0" borderId="0" xfId="2" applyNumberFormat="1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0</xdr:row>
      <xdr:rowOff>76199</xdr:rowOff>
    </xdr:from>
    <xdr:to>
      <xdr:col>18</xdr:col>
      <xdr:colOff>374650</xdr:colOff>
      <xdr:row>6</xdr:row>
      <xdr:rowOff>133350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D748FDC-2B2C-4D71-9671-008AFFED8F2A}"/>
            </a:ext>
          </a:extLst>
        </xdr:cNvPr>
        <xdr:cNvSpPr txBox="1"/>
      </xdr:nvSpPr>
      <xdr:spPr>
        <a:xfrm>
          <a:off x="2720975" y="76199"/>
          <a:ext cx="8769350" cy="1200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Esse arquivo apresenta os cálculos</a:t>
          </a:r>
          <a:r>
            <a:rPr lang="pt-BR" sz="1100" baseline="0"/>
            <a:t> necessários para realização do teste de hipótese. Usamos, a partir da coluna A, 12 observações (11 graus de liberdade). </a:t>
          </a:r>
        </a:p>
        <a:p>
          <a:endParaRPr lang="pt-BR" sz="1100" baseline="0"/>
        </a:p>
        <a:p>
          <a:r>
            <a:rPr lang="pt-BR" sz="1100" baseline="0"/>
            <a:t>As seguintes estatísticas da amostra são calculadas: média, desvio-padrão, erro amostral. </a:t>
          </a:r>
        </a:p>
        <a:p>
          <a:endParaRPr lang="pt-BR" sz="1100" baseline="0"/>
        </a:p>
        <a:p>
          <a:r>
            <a:rPr lang="pt-BR" sz="1100" baseline="0"/>
            <a:t>Como o número de observações é pequeno, usaremos a distribuição t-student (com 11 graus de liberdade). </a:t>
          </a:r>
        </a:p>
        <a:p>
          <a:endParaRPr lang="pt-BR" sz="1100" baseline="0"/>
        </a:p>
        <a:p>
          <a:endParaRPr lang="pt-BR" sz="1100"/>
        </a:p>
      </xdr:txBody>
    </xdr:sp>
    <xdr:clientData/>
  </xdr:twoCellAnchor>
  <xdr:twoCellAnchor>
    <xdr:from>
      <xdr:col>0</xdr:col>
      <xdr:colOff>101600</xdr:colOff>
      <xdr:row>14</xdr:row>
      <xdr:rowOff>19050</xdr:rowOff>
    </xdr:from>
    <xdr:to>
      <xdr:col>3</xdr:col>
      <xdr:colOff>101600</xdr:colOff>
      <xdr:row>18</xdr:row>
      <xdr:rowOff>107950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1F057DC-473F-47C4-BC9A-B49024719924}"/>
            </a:ext>
          </a:extLst>
        </xdr:cNvPr>
        <xdr:cNvSpPr txBox="1"/>
      </xdr:nvSpPr>
      <xdr:spPr>
        <a:xfrm>
          <a:off x="101600" y="2597150"/>
          <a:ext cx="2006600" cy="825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Porque</a:t>
          </a:r>
          <a:r>
            <a:rPr lang="pt-BR" sz="1100" baseline="0"/>
            <a:t> 5%? Assumimos como default. Cada exercício pode trazer um nível de significância diferente. </a:t>
          </a:r>
          <a:endParaRPr lang="pt-BR" sz="1100"/>
        </a:p>
      </xdr:txBody>
    </xdr:sp>
    <xdr:clientData/>
  </xdr:twoCellAnchor>
  <xdr:twoCellAnchor>
    <xdr:from>
      <xdr:col>1</xdr:col>
      <xdr:colOff>495300</xdr:colOff>
      <xdr:row>11</xdr:row>
      <xdr:rowOff>177800</xdr:rowOff>
    </xdr:from>
    <xdr:to>
      <xdr:col>3</xdr:col>
      <xdr:colOff>165100</xdr:colOff>
      <xdr:row>14</xdr:row>
      <xdr:rowOff>19050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65E2C725-625A-4E54-BD0B-BFE9CC43278E}"/>
            </a:ext>
          </a:extLst>
        </xdr:cNvPr>
        <xdr:cNvCxnSpPr>
          <a:stCxn id="3" idx="0"/>
        </xdr:cNvCxnSpPr>
      </xdr:nvCxnSpPr>
      <xdr:spPr>
        <a:xfrm flipV="1">
          <a:off x="1104900" y="2203450"/>
          <a:ext cx="1066800" cy="393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6</xdr:row>
      <xdr:rowOff>31750</xdr:rowOff>
    </xdr:from>
    <xdr:to>
      <xdr:col>6</xdr:col>
      <xdr:colOff>311150</xdr:colOff>
      <xdr:row>9</xdr:row>
      <xdr:rowOff>95250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EBEEF0CF-D9F0-47C2-8CA2-16C5DF2A51FF}"/>
                </a:ext>
              </a:extLst>
            </xdr:cNvPr>
            <xdr:cNvSpPr txBox="1"/>
          </xdr:nvSpPr>
          <xdr:spPr>
            <a:xfrm>
              <a:off x="3263900" y="1136650"/>
              <a:ext cx="882650" cy="6159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</m:acc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num>
                      <m:den>
                        <m:f>
                          <m:f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num>
                          <m:den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√</m:t>
                            </m:r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</m:den>
                    </m:f>
                    <m:r>
                      <a:rPr lang="pt-BR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pt-BR" sz="1100"/>
            </a:p>
            <a:p>
              <a:endParaRPr lang="pt-BR" sz="1100"/>
            </a:p>
          </xdr:txBody>
        </xdr:sp>
      </mc:Choice>
      <mc:Fallback xmlns="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EBEEF0CF-D9F0-47C2-8CA2-16C5DF2A51FF}"/>
                </a:ext>
              </a:extLst>
            </xdr:cNvPr>
            <xdr:cNvSpPr txBox="1"/>
          </xdr:nvSpPr>
          <xdr:spPr>
            <a:xfrm>
              <a:off x="3263900" y="1136650"/>
              <a:ext cx="882650" cy="61595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𝑡=(𝑋 ̅−𝜇)/(𝑠/(√𝑛))  </a:t>
              </a:r>
              <a:endParaRPr lang="pt-BR" sz="1100"/>
            </a:p>
            <a:p>
              <a:endParaRPr lang="pt-BR" sz="1100"/>
            </a:p>
          </xdr:txBody>
        </xdr:sp>
      </mc:Fallback>
    </mc:AlternateContent>
    <xdr:clientData/>
  </xdr:twoCellAnchor>
  <xdr:twoCellAnchor>
    <xdr:from>
      <xdr:col>4</xdr:col>
      <xdr:colOff>6350</xdr:colOff>
      <xdr:row>7</xdr:row>
      <xdr:rowOff>120650</xdr:rowOff>
    </xdr:from>
    <xdr:to>
      <xdr:col>5</xdr:col>
      <xdr:colOff>38100</xdr:colOff>
      <xdr:row>7</xdr:row>
      <xdr:rowOff>155575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F06C402F-096B-40DF-8694-B788BA579173}"/>
            </a:ext>
          </a:extLst>
        </xdr:cNvPr>
        <xdr:cNvCxnSpPr>
          <a:stCxn id="9" idx="1"/>
        </xdr:cNvCxnSpPr>
      </xdr:nvCxnSpPr>
      <xdr:spPr>
        <a:xfrm flipH="1" flipV="1">
          <a:off x="2622550" y="1409700"/>
          <a:ext cx="641350" cy="34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10</xdr:row>
      <xdr:rowOff>6350</xdr:rowOff>
    </xdr:from>
    <xdr:to>
      <xdr:col>13</xdr:col>
      <xdr:colOff>577850</xdr:colOff>
      <xdr:row>13</xdr:row>
      <xdr:rowOff>120650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1A4B2DD-D1EE-42DE-BEE9-5108BE9E047C}"/>
            </a:ext>
          </a:extLst>
        </xdr:cNvPr>
        <xdr:cNvSpPr txBox="1"/>
      </xdr:nvSpPr>
      <xdr:spPr>
        <a:xfrm>
          <a:off x="3238500" y="1847850"/>
          <a:ext cx="544195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 fórmula INV.T.BC (BC de teste "bi-caudal") necessita</a:t>
          </a:r>
          <a:r>
            <a:rPr lang="pt-BR" sz="1100" baseline="0"/>
            <a:t> como input (entrada, parâmetro) os valores de alfa e graus de liberdade. Basicamente, pedimos o valor de  "t" que deixa 5% da área nas caudas da curva (no caso de teste bi-caudal, 2,5% em cada uma).</a:t>
          </a:r>
          <a:endParaRPr lang="pt-BR" sz="1100"/>
        </a:p>
      </xdr:txBody>
    </xdr:sp>
    <xdr:clientData/>
  </xdr:twoCellAnchor>
  <xdr:twoCellAnchor>
    <xdr:from>
      <xdr:col>3</xdr:col>
      <xdr:colOff>603250</xdr:colOff>
      <xdr:row>8</xdr:row>
      <xdr:rowOff>120650</xdr:rowOff>
    </xdr:from>
    <xdr:to>
      <xdr:col>5</xdr:col>
      <xdr:colOff>76200</xdr:colOff>
      <xdr:row>9</xdr:row>
      <xdr:rowOff>177800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CEABA432-CC2B-4285-B665-7C6453E00862}"/>
            </a:ext>
          </a:extLst>
        </xdr:cNvPr>
        <xdr:cNvCxnSpPr/>
      </xdr:nvCxnSpPr>
      <xdr:spPr>
        <a:xfrm flipH="1" flipV="1">
          <a:off x="2609850" y="1593850"/>
          <a:ext cx="69215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14</xdr:row>
      <xdr:rowOff>88900</xdr:rowOff>
    </xdr:from>
    <xdr:to>
      <xdr:col>13</xdr:col>
      <xdr:colOff>584200</xdr:colOff>
      <xdr:row>18</xdr:row>
      <xdr:rowOff>19050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758A4CEE-5C79-4E2F-950E-9C4085BECC8E}"/>
            </a:ext>
          </a:extLst>
        </xdr:cNvPr>
        <xdr:cNvSpPr txBox="1"/>
      </xdr:nvSpPr>
      <xdr:spPr>
        <a:xfrm>
          <a:off x="3244850" y="2667000"/>
          <a:ext cx="544195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 fórmula DIST.T.BC (BC de teste "bi-caudal") necessita como input (entrada, parâmetro) os</a:t>
          </a:r>
          <a:r>
            <a:rPr lang="pt-BR" sz="1100" baseline="0"/>
            <a:t> valores da estatística t calculada e os graus de liberdade. Basicamente, perguntamos qual a área "pior" ou mais extrema (mais à direita e esquerda) dada a nossa estatística. É o p-valor. </a:t>
          </a:r>
          <a:endParaRPr lang="pt-BR" sz="1100"/>
        </a:p>
      </xdr:txBody>
    </xdr:sp>
    <xdr:clientData/>
  </xdr:twoCellAnchor>
  <xdr:twoCellAnchor>
    <xdr:from>
      <xdr:col>4</xdr:col>
      <xdr:colOff>6350</xdr:colOff>
      <xdr:row>11</xdr:row>
      <xdr:rowOff>6350</xdr:rowOff>
    </xdr:from>
    <xdr:to>
      <xdr:col>5</xdr:col>
      <xdr:colOff>25400</xdr:colOff>
      <xdr:row>14</xdr:row>
      <xdr:rowOff>88900</xdr:rowOff>
    </xdr:to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25D1D507-B819-471A-98AA-775BA75FE14C}"/>
            </a:ext>
          </a:extLst>
        </xdr:cNvPr>
        <xdr:cNvCxnSpPr/>
      </xdr:nvCxnSpPr>
      <xdr:spPr>
        <a:xfrm flipH="1" flipV="1">
          <a:off x="2622550" y="2032000"/>
          <a:ext cx="628650" cy="635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57150</xdr:colOff>
      <xdr:row>7</xdr:row>
      <xdr:rowOff>0</xdr:rowOff>
    </xdr:from>
    <xdr:to>
      <xdr:col>18</xdr:col>
      <xdr:colOff>0</xdr:colOff>
      <xdr:row>11</xdr:row>
      <xdr:rowOff>38100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9004A556-0FC1-49F3-BDED-09DFD6B55B41}"/>
            </a:ext>
          </a:extLst>
        </xdr:cNvPr>
        <xdr:cNvSpPr txBox="1"/>
      </xdr:nvSpPr>
      <xdr:spPr>
        <a:xfrm>
          <a:off x="8769350" y="1289050"/>
          <a:ext cx="2381250" cy="7747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Como (t_estat &lt; t_critic), similar a (p-value</a:t>
          </a:r>
          <a:r>
            <a:rPr lang="pt-BR" sz="1100" b="1" baseline="0"/>
            <a:t> &gt; alpha), NÃO rejeitamos a hipótese nula. 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1CBA-1428-447E-9960-D31F37D65D8E}">
  <dimension ref="A1:L13"/>
  <sheetViews>
    <sheetView tabSelected="1" workbookViewId="0">
      <selection activeCell="R15" sqref="R15"/>
    </sheetView>
  </sheetViews>
  <sheetFormatPr defaultRowHeight="15" x14ac:dyDescent="0.25"/>
  <cols>
    <col min="3" max="3" width="11.28515625" bestFit="1" customWidth="1"/>
  </cols>
  <sheetData>
    <row r="1" spans="1:12" x14ac:dyDescent="0.25">
      <c r="A1" s="2" t="s">
        <v>9</v>
      </c>
      <c r="B1" s="3"/>
      <c r="C1" s="3" t="s">
        <v>10</v>
      </c>
      <c r="D1" s="3"/>
      <c r="E1" s="3"/>
      <c r="F1" s="1"/>
      <c r="G1" s="1"/>
      <c r="H1" s="1"/>
      <c r="I1" s="1"/>
      <c r="J1" s="1"/>
      <c r="K1" s="1"/>
      <c r="L1" s="1"/>
    </row>
    <row r="2" spans="1:12" x14ac:dyDescent="0.25">
      <c r="A2" s="2">
        <v>9.6999999999999993</v>
      </c>
      <c r="B2" s="4"/>
      <c r="C2" s="4" t="s">
        <v>0</v>
      </c>
      <c r="D2" s="3">
        <f>AVERAGE(A2:A13)</f>
        <v>10.133333333333333</v>
      </c>
      <c r="E2" s="4"/>
    </row>
    <row r="3" spans="1:12" x14ac:dyDescent="0.25">
      <c r="A3" s="3">
        <v>10.199999999999999</v>
      </c>
      <c r="B3" s="4"/>
      <c r="C3" s="4" t="s">
        <v>1</v>
      </c>
      <c r="D3" s="3">
        <f>STDEV(A2:A13)</f>
        <v>0.24984843890695507</v>
      </c>
      <c r="E3" s="4"/>
    </row>
    <row r="4" spans="1:12" x14ac:dyDescent="0.25">
      <c r="A4" s="3">
        <v>10.4</v>
      </c>
      <c r="B4" s="4"/>
      <c r="C4" s="4" t="s">
        <v>2</v>
      </c>
      <c r="D4" s="3">
        <f>D3/SQRT(12)</f>
        <v>7.212503172976914E-2</v>
      </c>
      <c r="E4" s="4"/>
    </row>
    <row r="5" spans="1:12" x14ac:dyDescent="0.25">
      <c r="A5" s="3">
        <v>9.9</v>
      </c>
      <c r="B5" s="4"/>
      <c r="C5" s="4" t="s">
        <v>3</v>
      </c>
      <c r="D5" s="5">
        <v>12</v>
      </c>
      <c r="E5" s="4"/>
    </row>
    <row r="6" spans="1:12" x14ac:dyDescent="0.25">
      <c r="A6" s="3">
        <v>10.1</v>
      </c>
      <c r="B6" s="4"/>
      <c r="C6" s="4" t="s">
        <v>4</v>
      </c>
      <c r="D6" s="6">
        <f>D5-1</f>
        <v>11</v>
      </c>
      <c r="E6" s="4"/>
    </row>
    <row r="7" spans="1:12" x14ac:dyDescent="0.25">
      <c r="A7" s="3">
        <v>10.5</v>
      </c>
      <c r="B7" s="4"/>
      <c r="C7" s="4"/>
      <c r="D7" s="4"/>
      <c r="E7" s="4"/>
    </row>
    <row r="8" spans="1:12" x14ac:dyDescent="0.25">
      <c r="A8" s="3">
        <v>9.8000000000000007</v>
      </c>
      <c r="B8" s="4"/>
      <c r="C8" s="4" t="s">
        <v>5</v>
      </c>
      <c r="D8" s="4">
        <f>(D2-10)/D4</f>
        <v>1.8486415899668907</v>
      </c>
      <c r="E8" s="4"/>
    </row>
    <row r="9" spans="1:12" x14ac:dyDescent="0.25">
      <c r="A9" s="3">
        <v>10.3</v>
      </c>
      <c r="B9" s="4"/>
      <c r="C9" t="s">
        <v>6</v>
      </c>
      <c r="D9" s="4">
        <f>_xlfn.T.INV.2T(0.05,11)</f>
        <v>2.2009851600916384</v>
      </c>
      <c r="E9" s="4"/>
    </row>
    <row r="10" spans="1:12" x14ac:dyDescent="0.25">
      <c r="A10" s="3">
        <v>10</v>
      </c>
      <c r="B10" s="4"/>
      <c r="C10" s="4"/>
      <c r="D10" s="4"/>
      <c r="E10" s="4"/>
    </row>
    <row r="11" spans="1:12" x14ac:dyDescent="0.25">
      <c r="A11" s="3">
        <v>10.199999999999999</v>
      </c>
      <c r="B11" s="4"/>
      <c r="C11" t="s">
        <v>7</v>
      </c>
      <c r="D11" s="7">
        <f>_xlfn.T.DIST.2T(D8,11)</f>
        <v>9.1546488307255147E-2</v>
      </c>
      <c r="E11" s="4"/>
    </row>
    <row r="12" spans="1:12" x14ac:dyDescent="0.25">
      <c r="A12" s="3">
        <v>10.4</v>
      </c>
      <c r="B12" s="4"/>
      <c r="C12" t="s">
        <v>8</v>
      </c>
      <c r="D12" s="7">
        <v>0.05</v>
      </c>
      <c r="E12" s="4"/>
    </row>
    <row r="13" spans="1:12" x14ac:dyDescent="0.25">
      <c r="A13" s="3">
        <v>10.1</v>
      </c>
      <c r="B13" s="4"/>
      <c r="C13" s="4"/>
      <c r="D13" s="4"/>
      <c r="E13" s="4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Chertman</dc:creator>
  <cp:lastModifiedBy>Fernando Chertman</cp:lastModifiedBy>
  <dcterms:created xsi:type="dcterms:W3CDTF">2026-02-04T17:39:39Z</dcterms:created>
  <dcterms:modified xsi:type="dcterms:W3CDTF">2026-02-10T11:24:47Z</dcterms:modified>
</cp:coreProperties>
</file>