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arthurmalucelli/FGV/ContabilidadeFinanceira/Aulas/08.20/"/>
    </mc:Choice>
  </mc:AlternateContent>
  <xr:revisionPtr revIDLastSave="0" documentId="13_ncr:1_{5662A70F-B0B4-6A45-B84F-FCD8FA44D1C3}" xr6:coauthVersionLast="47" xr6:coauthVersionMax="47" xr10:uidLastSave="{00000000-0000-0000-0000-000000000000}"/>
  <bookViews>
    <workbookView xWindow="0" yWindow="660" windowWidth="30240" windowHeight="18980" tabRatio="500" xr2:uid="{00000000-000D-0000-FFFF-FFFF00000000}"/>
  </bookViews>
  <sheets>
    <sheet name="Plan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T61" i="1" l="1"/>
  <c r="S61" i="1"/>
  <c r="R61" i="1"/>
  <c r="Q61" i="1"/>
  <c r="P61" i="1"/>
  <c r="O61" i="1"/>
  <c r="L61" i="1"/>
  <c r="K61" i="1"/>
  <c r="J61" i="1"/>
  <c r="I61" i="1"/>
  <c r="H61" i="1"/>
  <c r="G61" i="1"/>
  <c r="F61" i="1"/>
  <c r="E61" i="1"/>
  <c r="D61" i="1"/>
  <c r="C61" i="1"/>
  <c r="C63" i="1" s="1"/>
  <c r="D62" i="1" s="1"/>
  <c r="D63" i="1" s="1"/>
  <c r="E62" i="1" s="1"/>
  <c r="E63" i="1" s="1"/>
  <c r="F62" i="1" s="1"/>
  <c r="F63" i="1" s="1"/>
  <c r="G62" i="1" s="1"/>
  <c r="G63" i="1" s="1"/>
  <c r="H62" i="1" s="1"/>
  <c r="H63" i="1" s="1"/>
  <c r="I62" i="1" s="1"/>
  <c r="I63" i="1" s="1"/>
  <c r="J62" i="1" s="1"/>
  <c r="J63" i="1" s="1"/>
  <c r="K62" i="1" s="1"/>
  <c r="K63" i="1" s="1"/>
  <c r="L62" i="1" s="1"/>
  <c r="L63" i="1" s="1"/>
  <c r="B61" i="1"/>
  <c r="M60" i="1"/>
  <c r="V59" i="1"/>
  <c r="M59" i="1"/>
  <c r="V57" i="1"/>
  <c r="M57" i="1"/>
  <c r="V56" i="1"/>
  <c r="M56" i="1"/>
  <c r="M54" i="1"/>
  <c r="V53" i="1"/>
  <c r="M53" i="1"/>
  <c r="V52" i="1"/>
  <c r="M52" i="1"/>
  <c r="V51" i="1"/>
  <c r="M51" i="1"/>
  <c r="M61" i="1" s="1"/>
  <c r="M63" i="1" s="1"/>
  <c r="V43" i="1"/>
  <c r="M43" i="1"/>
  <c r="V41" i="1"/>
  <c r="M41" i="1"/>
  <c r="V40" i="1"/>
  <c r="M40" i="1"/>
  <c r="V39" i="1"/>
  <c r="M39" i="1"/>
  <c r="U37" i="1"/>
  <c r="U42" i="1" s="1"/>
  <c r="U44" i="1" s="1"/>
  <c r="T37" i="1"/>
  <c r="T42" i="1" s="1"/>
  <c r="T44" i="1" s="1"/>
  <c r="T46" i="1" s="1"/>
  <c r="S37" i="1"/>
  <c r="S42" i="1" s="1"/>
  <c r="S44" i="1" s="1"/>
  <c r="S46" i="1" s="1"/>
  <c r="R37" i="1"/>
  <c r="R42" i="1" s="1"/>
  <c r="R44" i="1" s="1"/>
  <c r="R46" i="1" s="1"/>
  <c r="Q37" i="1"/>
  <c r="Q42" i="1" s="1"/>
  <c r="Q44" i="1" s="1"/>
  <c r="Q46" i="1" s="1"/>
  <c r="P37" i="1"/>
  <c r="P42" i="1" s="1"/>
  <c r="P44" i="1" s="1"/>
  <c r="P46" i="1" s="1"/>
  <c r="O37" i="1"/>
  <c r="O42" i="1" s="1"/>
  <c r="O44" i="1" s="1"/>
  <c r="O46" i="1" s="1"/>
  <c r="N37" i="1"/>
  <c r="N42" i="1" s="1"/>
  <c r="N44" i="1" s="1"/>
  <c r="N46" i="1" s="1"/>
  <c r="M37" i="1"/>
  <c r="M42" i="1" s="1"/>
  <c r="M44" i="1" s="1"/>
  <c r="L37" i="1"/>
  <c r="L42" i="1" s="1"/>
  <c r="L44" i="1" s="1"/>
  <c r="L46" i="1" s="1"/>
  <c r="K37" i="1"/>
  <c r="K42" i="1" s="1"/>
  <c r="K44" i="1" s="1"/>
  <c r="J37" i="1"/>
  <c r="J42" i="1" s="1"/>
  <c r="J44" i="1" s="1"/>
  <c r="J46" i="1" s="1"/>
  <c r="I37" i="1"/>
  <c r="I42" i="1" s="1"/>
  <c r="I44" i="1" s="1"/>
  <c r="I46" i="1" s="1"/>
  <c r="H37" i="1"/>
  <c r="H42" i="1" s="1"/>
  <c r="H44" i="1" s="1"/>
  <c r="H46" i="1" s="1"/>
  <c r="G37" i="1"/>
  <c r="G42" i="1" s="1"/>
  <c r="G44" i="1" s="1"/>
  <c r="G46" i="1" s="1"/>
  <c r="F37" i="1"/>
  <c r="F42" i="1" s="1"/>
  <c r="F44" i="1" s="1"/>
  <c r="F46" i="1" s="1"/>
  <c r="E37" i="1"/>
  <c r="E42" i="1" s="1"/>
  <c r="E44" i="1" s="1"/>
  <c r="E46" i="1" s="1"/>
  <c r="D37" i="1"/>
  <c r="D42" i="1" s="1"/>
  <c r="D44" i="1" s="1"/>
  <c r="D46" i="1" s="1"/>
  <c r="C37" i="1"/>
  <c r="C42" i="1" s="1"/>
  <c r="C44" i="1" s="1"/>
  <c r="C46" i="1" s="1"/>
  <c r="B37" i="1"/>
  <c r="B42" i="1" s="1"/>
  <c r="B44" i="1" s="1"/>
  <c r="B46" i="1" s="1"/>
  <c r="V36" i="1"/>
  <c r="M36" i="1"/>
  <c r="V35" i="1"/>
  <c r="V37" i="1" s="1"/>
  <c r="V42" i="1" s="1"/>
  <c r="V44" i="1" s="1"/>
  <c r="M35" i="1"/>
  <c r="T32" i="1"/>
  <c r="S32" i="1"/>
  <c r="O32" i="1"/>
  <c r="G32" i="1"/>
  <c r="F32" i="1"/>
  <c r="E32" i="1"/>
  <c r="D32" i="1"/>
  <c r="C32" i="1"/>
  <c r="T30" i="1"/>
  <c r="S30" i="1"/>
  <c r="R30" i="1"/>
  <c r="Q30" i="1"/>
  <c r="P30" i="1"/>
  <c r="O30" i="1"/>
  <c r="J30" i="1"/>
  <c r="I30" i="1"/>
  <c r="H30" i="1"/>
  <c r="G30" i="1"/>
  <c r="F30" i="1"/>
  <c r="E30" i="1"/>
  <c r="D30" i="1"/>
  <c r="C30" i="1"/>
  <c r="B30" i="1"/>
  <c r="M28" i="1"/>
  <c r="V28" i="1" s="1"/>
  <c r="M26" i="1"/>
  <c r="V26" i="1" s="1"/>
  <c r="V25" i="1"/>
  <c r="M25" i="1"/>
  <c r="M23" i="1"/>
  <c r="V23" i="1" s="1"/>
  <c r="V21" i="1"/>
  <c r="M21" i="1"/>
  <c r="M19" i="1"/>
  <c r="V19" i="1" s="1"/>
  <c r="V18" i="1"/>
  <c r="M18" i="1"/>
  <c r="T15" i="1"/>
  <c r="S15" i="1"/>
  <c r="R15" i="1"/>
  <c r="R32" i="1" s="1"/>
  <c r="Q15" i="1"/>
  <c r="Q32" i="1" s="1"/>
  <c r="P15" i="1"/>
  <c r="P32" i="1" s="1"/>
  <c r="O15" i="1"/>
  <c r="L15" i="1"/>
  <c r="K15" i="1"/>
  <c r="J15" i="1"/>
  <c r="J32" i="1" s="1"/>
  <c r="I15" i="1"/>
  <c r="I32" i="1" s="1"/>
  <c r="H15" i="1"/>
  <c r="H32" i="1" s="1"/>
  <c r="G15" i="1"/>
  <c r="F15" i="1"/>
  <c r="E15" i="1"/>
  <c r="D15" i="1"/>
  <c r="C15" i="1"/>
  <c r="B15" i="1"/>
  <c r="B32" i="1" s="1"/>
  <c r="M14" i="1"/>
  <c r="V14" i="1" s="1"/>
  <c r="M13" i="1"/>
  <c r="V13" i="1" s="1"/>
  <c r="M12" i="1"/>
  <c r="V12" i="1" s="1"/>
  <c r="M11" i="1"/>
  <c r="V11" i="1" s="1"/>
  <c r="M10" i="1"/>
  <c r="V10" i="1" s="1"/>
  <c r="M8" i="1"/>
  <c r="V8" i="1" s="1"/>
  <c r="M7" i="1"/>
  <c r="V7" i="1" s="1"/>
  <c r="M6" i="1"/>
  <c r="V6" i="1" s="1"/>
  <c r="M5" i="1"/>
  <c r="V5" i="1" s="1"/>
  <c r="M4" i="1"/>
  <c r="V62" i="1" l="1"/>
  <c r="N62" i="1"/>
  <c r="K45" i="1"/>
  <c r="M45" i="1" s="1"/>
  <c r="M46" i="1"/>
  <c r="K29" i="1"/>
  <c r="K20" i="1"/>
  <c r="U45" i="1"/>
  <c r="U46" i="1"/>
  <c r="M15" i="1"/>
  <c r="M20" i="1" l="1"/>
  <c r="K30" i="1"/>
  <c r="K32" i="1" s="1"/>
  <c r="L29" i="1"/>
  <c r="M29" i="1" s="1"/>
  <c r="V29" i="1" s="1"/>
  <c r="L22" i="1"/>
  <c r="K46" i="1"/>
  <c r="V45" i="1"/>
  <c r="V46" i="1" s="1"/>
  <c r="U29" i="1"/>
  <c r="L30" i="1" l="1"/>
  <c r="L32" i="1" s="1"/>
  <c r="M22" i="1"/>
  <c r="U54" i="1"/>
  <c r="U4" i="1"/>
  <c r="U15" i="1" s="1"/>
  <c r="U20" i="1"/>
  <c r="U30" i="1" s="1"/>
  <c r="M30" i="1"/>
  <c r="M32" i="1" s="1"/>
  <c r="U32" i="1" l="1"/>
  <c r="V20" i="1"/>
  <c r="V54" i="1"/>
  <c r="U61" i="1"/>
  <c r="N60" i="1"/>
  <c r="N4" i="1"/>
  <c r="N22" i="1"/>
  <c r="N30" i="1" s="1"/>
  <c r="V22" i="1" l="1"/>
  <c r="V60" i="1"/>
  <c r="N61" i="1"/>
  <c r="N63" i="1" s="1"/>
  <c r="O62" i="1" s="1"/>
  <c r="O63" i="1" s="1"/>
  <c r="P62" i="1" s="1"/>
  <c r="P63" i="1" s="1"/>
  <c r="Q62" i="1" s="1"/>
  <c r="Q63" i="1" s="1"/>
  <c r="R62" i="1" s="1"/>
  <c r="R63" i="1" s="1"/>
  <c r="S62" i="1" s="1"/>
  <c r="S63" i="1" s="1"/>
  <c r="T62" i="1" s="1"/>
  <c r="T63" i="1" s="1"/>
  <c r="U62" i="1" s="1"/>
  <c r="U63" i="1" s="1"/>
  <c r="N15" i="1"/>
  <c r="N32" i="1" s="1"/>
  <c r="V4" i="1"/>
  <c r="V15" i="1" s="1"/>
  <c r="V61" i="1"/>
  <c r="V63" i="1" s="1"/>
  <c r="V30" i="1"/>
  <c r="V3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C4" authorId="0" shapeId="0" xr:uid="{00000000-0006-0000-0000-000001000000}">
      <text>
        <r>
          <rPr>
            <sz val="10"/>
            <color rgb="FF000000"/>
            <rFont val="Arial"/>
            <family val="2"/>
          </rPr>
          <t>Capital social: 2 sócias x 40.000</t>
        </r>
      </text>
    </comment>
    <comment ref="E4" authorId="0" shapeId="0" xr:uid="{00000000-0006-0000-0000-000003000000}">
      <text>
        <r>
          <rPr>
            <sz val="10"/>
            <rFont val="Arial"/>
            <family val="2"/>
          </rPr>
          <t>Aluguel antecipado 9.000 + móveis 13.200</t>
        </r>
      </text>
    </comment>
    <comment ref="G4" authorId="0" shapeId="0" xr:uid="{00000000-0006-0000-0000-000007000000}">
      <text>
        <r>
          <rPr>
            <sz val="10"/>
            <rFont val="Arial"/>
            <family val="2"/>
          </rPr>
          <t>Anúncio pago em julho, veicula em agosto: ativo, não despesa</t>
        </r>
      </text>
    </comment>
    <comment ref="H4" authorId="0" shapeId="0" xr:uid="{00000000-0006-0000-0000-000008000000}">
      <text>
        <r>
          <rPr>
            <sz val="10"/>
            <rFont val="Arial"/>
            <family val="2"/>
          </rPr>
          <t>102.000 recebidos das vendas (152-50 a prazo) + 20.000 vales-presente</t>
        </r>
      </text>
    </comment>
    <comment ref="I4" authorId="0" shapeId="0" xr:uid="{00000000-0006-0000-0000-00000E000000}">
      <text>
        <r>
          <rPr>
            <sz val="10"/>
            <rFont val="Arial"/>
            <family val="2"/>
          </rPr>
          <t>Metade do salário paga</t>
        </r>
      </text>
    </comment>
    <comment ref="N4" authorId="0" shapeId="0" xr:uid="{00000000-0006-0000-0000-00001A000000}">
      <text>
        <r>
          <rPr>
            <sz val="10"/>
            <rFont val="Arial"/>
            <family val="2"/>
          </rPr>
          <t>Recebe CR de julho (50.000), paga salário pendente (1.000) e dividendos</t>
        </r>
      </text>
    </comment>
    <comment ref="O4" authorId="0" shapeId="0" xr:uid="{00000000-0006-0000-0000-00001C000000}">
      <text>
        <r>
          <rPr>
            <sz val="10"/>
            <rFont val="Arial"/>
            <family val="2"/>
          </rPr>
          <t>Compras 170.000, ficou devendo 15.000</t>
        </r>
      </text>
    </comment>
    <comment ref="P4" authorId="0" shapeId="0" xr:uid="{00000000-0006-0000-0000-00001D000000}">
      <text>
        <r>
          <rPr>
            <sz val="10"/>
            <rFont val="Arial"/>
            <family val="2"/>
          </rPr>
          <t>Vendas novas 180.000 - 24.000 a prazo</t>
        </r>
      </text>
    </comment>
    <comment ref="Q4" authorId="0" shapeId="0" xr:uid="{00000000-0006-0000-0000-000022000000}">
      <text>
        <r>
          <rPr>
            <sz val="10"/>
            <rFont val="Arial"/>
            <family val="2"/>
          </rPr>
          <t>Adiantamento por encomenda: perfume não chegou, sem receita</t>
        </r>
      </text>
    </comment>
    <comment ref="T4" authorId="0" shapeId="0" xr:uid="{00000000-0006-0000-0000-000025000000}">
      <text>
        <r>
          <rPr>
            <sz val="10"/>
            <rFont val="Arial"/>
            <family val="2"/>
          </rPr>
          <t>Quita empréstimo 50.000 + juros acumulados 1.000 (jul+ago)</t>
        </r>
      </text>
    </comment>
    <comment ref="U4" authorId="0" shapeId="0" xr:uid="{00000000-0006-0000-0000-000028000000}">
      <text>
        <r>
          <rPr>
            <sz val="10"/>
            <rFont val="Arial"/>
            <family val="2"/>
          </rPr>
          <t>Paga IR de julho (premissa: 'pagamento previsto p/ o próximo mês' do 4.2)</t>
        </r>
      </text>
    </comment>
    <comment ref="H6" authorId="0" shapeId="0" xr:uid="{00000000-0006-0000-0000-000009000000}">
      <text>
        <r>
          <rPr>
            <sz val="10"/>
            <rFont val="Arial"/>
            <family val="2"/>
          </rPr>
          <t>CMV = 100.000 compras - 4.000 estoque final</t>
        </r>
      </text>
    </comment>
    <comment ref="P6" authorId="0" shapeId="0" xr:uid="{00000000-0006-0000-0000-00001E000000}">
      <text>
        <r>
          <rPr>
            <sz val="10"/>
            <rFont val="Arial"/>
            <family val="2"/>
          </rPr>
          <t>CMV = 4.000 EI + 170.000 compras - 23.000 EF</t>
        </r>
      </text>
    </comment>
    <comment ref="E8" authorId="0" shapeId="0" xr:uid="{00000000-0006-0000-0000-000004000000}">
      <text>
        <r>
          <rPr>
            <sz val="10"/>
            <rFont val="Arial"/>
            <family val="2"/>
          </rPr>
          <t>6 meses x 1.500</t>
        </r>
      </text>
    </comment>
    <comment ref="J8" authorId="0" shapeId="0" xr:uid="{00000000-0006-0000-0000-000010000000}">
      <text>
        <r>
          <rPr>
            <sz val="10"/>
            <rFont val="Arial"/>
            <family val="2"/>
          </rPr>
          <t>1 mês de aluguel consumido (9.000/6)</t>
        </r>
      </text>
    </comment>
    <comment ref="S8" authorId="0" shapeId="0" xr:uid="{00000000-0006-0000-0000-000023000000}">
      <text>
        <r>
          <rPr>
            <sz val="10"/>
            <rFont val="Arial"/>
            <family val="2"/>
          </rPr>
          <t>Anúncio veiculou: despesa antecipada vira despesa</t>
        </r>
      </text>
    </comment>
    <comment ref="E10" authorId="0" shapeId="0" xr:uid="{00000000-0006-0000-0000-000005000000}">
      <text>
        <r>
          <rPr>
            <sz val="10"/>
            <rFont val="Arial"/>
            <family val="2"/>
          </rPr>
          <t>12.000 + 10% IPI não recuperável (integra o custo)</t>
        </r>
      </text>
    </comment>
    <comment ref="J11" authorId="0" shapeId="0" xr:uid="{00000000-0006-0000-0000-000011000000}">
      <text>
        <r>
          <rPr>
            <sz val="10"/>
            <rFont val="Arial"/>
            <family val="2"/>
          </rPr>
          <t>13.200 / 24 meses</t>
        </r>
      </text>
    </comment>
    <comment ref="K20" authorId="0" shapeId="0" xr:uid="{00000000-0006-0000-0000-000015000000}">
      <text>
        <r>
          <rPr>
            <sz val="10"/>
            <rFont val="Arial"/>
            <family val="2"/>
          </rPr>
          <t>Provisão do IR de julho (paga em agosto)</t>
        </r>
      </text>
    </comment>
    <comment ref="U20" authorId="0" shapeId="0" xr:uid="{00000000-0006-0000-0000-000029000000}">
      <text>
        <r>
          <rPr>
            <sz val="10"/>
            <rFont val="Arial"/>
            <family val="2"/>
          </rPr>
          <t>Paga IR de julho, provisiona IR de agosto</t>
        </r>
      </text>
    </comment>
    <comment ref="H21" authorId="0" shapeId="0" xr:uid="{00000000-0006-0000-0000-00000A000000}">
      <text>
        <r>
          <rPr>
            <sz val="10"/>
            <rFont val="Arial"/>
            <family val="2"/>
          </rPr>
          <t>Vales vendidos e não resgatados: obrigação de entregar mercadoria</t>
        </r>
      </text>
    </comment>
    <comment ref="P21" authorId="0" shapeId="0" xr:uid="{00000000-0006-0000-0000-00001F000000}">
      <text>
        <r>
          <rPr>
            <sz val="10"/>
            <rFont val="Arial"/>
            <family val="2"/>
          </rPr>
          <t>Vales todos resgatados: passivo vira receita</t>
        </r>
      </text>
    </comment>
    <comment ref="L22" authorId="0" shapeId="0" xr:uid="{00000000-0006-0000-0000-000017000000}">
      <text>
        <r>
          <rPr>
            <sz val="10"/>
            <rFont val="Arial"/>
            <family val="2"/>
          </rPr>
          <t>Dividendos: 40% do lucro líquido de julho, liquidação em agosto</t>
        </r>
      </text>
    </comment>
    <comment ref="J23" authorId="0" shapeId="0" xr:uid="{00000000-0006-0000-0000-000012000000}">
      <text>
        <r>
          <rPr>
            <sz val="10"/>
            <rFont val="Arial"/>
            <family val="2"/>
          </rPr>
          <t>Juros 1% x 50.000, pagos anualmente: provisiona</t>
        </r>
      </text>
    </comment>
    <comment ref="D25" authorId="0" shapeId="0" xr:uid="{00000000-0006-0000-0000-000002000000}">
      <text>
        <r>
          <rPr>
            <sz val="10"/>
            <rFont val="Arial"/>
            <family val="2"/>
          </rPr>
          <t>Empréstimo 1% a.m., 5 parcelas anuais</t>
        </r>
      </text>
    </comment>
    <comment ref="H29" authorId="0" shapeId="0" xr:uid="{00000000-0006-0000-0000-00000B000000}">
      <text>
        <r>
          <rPr>
            <sz val="10"/>
            <rFont val="Arial"/>
            <family val="2"/>
          </rPr>
          <t>Receita 152.000 - CMV 96.000</t>
        </r>
      </text>
    </comment>
    <comment ref="I29" authorId="0" shapeId="0" xr:uid="{00000000-0006-0000-0000-00000F000000}">
      <text>
        <r>
          <rPr>
            <sz val="10"/>
            <rFont val="Arial"/>
            <family val="2"/>
          </rPr>
          <t>Despesa cheia por competência</t>
        </r>
      </text>
    </comment>
    <comment ref="J29" authorId="0" shapeId="0" xr:uid="{00000000-0006-0000-0000-000013000000}">
      <text>
        <r>
          <rPr>
            <sz val="10"/>
            <rFont val="Arial"/>
            <family val="2"/>
          </rPr>
          <t>Aluguel 1.500 + depreciação 550 + juros 500</t>
        </r>
      </text>
    </comment>
    <comment ref="P29" authorId="0" shapeId="0" xr:uid="{00000000-0006-0000-0000-000020000000}">
      <text>
        <r>
          <rPr>
            <sz val="10"/>
            <rFont val="Arial"/>
            <family val="2"/>
          </rPr>
          <t>Receita 200.000 (180.000 vendas + 20.000 vales) - CMV 151.000</t>
        </r>
      </text>
    </comment>
    <comment ref="T29" authorId="0" shapeId="0" xr:uid="{00000000-0006-0000-0000-000026000000}">
      <text>
        <r>
          <rPr>
            <sz val="10"/>
            <rFont val="Arial"/>
            <family val="2"/>
          </rPr>
          <t>Juros de agosto por competência</t>
        </r>
      </text>
    </comment>
    <comment ref="U29" authorId="0" shapeId="0" xr:uid="{00000000-0006-0000-0000-00002A000000}">
      <text>
        <r>
          <rPr>
            <sz val="10"/>
            <rFont val="Arial"/>
            <family val="2"/>
          </rPr>
          <t>Aluguel + depreciação + IR de agosto</t>
        </r>
      </text>
    </comment>
    <comment ref="H35" authorId="0" shapeId="0" xr:uid="{00000000-0006-0000-0000-00000C000000}">
      <text>
        <r>
          <rPr>
            <sz val="10"/>
            <rFont val="Arial"/>
            <family val="2"/>
          </rPr>
          <t>Só vendas com mercadoria entregue; vales NÃO são receita em julho</t>
        </r>
      </text>
    </comment>
    <comment ref="P35" authorId="0" shapeId="0" xr:uid="{00000000-0006-0000-0000-000021000000}">
      <text>
        <r>
          <rPr>
            <sz val="10"/>
            <rFont val="Arial"/>
            <family val="2"/>
          </rPr>
          <t>Premissa: 180.000 vendas do período + 20.000 vales resgatados. Conferir com o texto em azul do PDF</t>
        </r>
      </text>
    </comment>
    <comment ref="S39" authorId="0" shapeId="0" xr:uid="{00000000-0006-0000-0000-000024000000}">
      <text>
        <r>
          <rPr>
            <sz val="10"/>
            <rFont val="Arial"/>
            <family val="2"/>
          </rPr>
          <t>Publicidade = despesa de vendas</t>
        </r>
      </text>
    </comment>
    <comment ref="J40" authorId="0" shapeId="0" xr:uid="{00000000-0006-0000-0000-000014000000}">
      <text>
        <r>
          <rPr>
            <sz val="10"/>
            <rFont val="Arial"/>
            <family val="2"/>
          </rPr>
          <t>Aluguel 1.500 + depreciação 550</t>
        </r>
      </text>
    </comment>
    <comment ref="K45" authorId="0" shapeId="0" xr:uid="{00000000-0006-0000-0000-000016000000}">
      <text>
        <r>
          <rPr>
            <sz val="10"/>
            <rFont val="Arial"/>
            <family val="2"/>
          </rPr>
          <t>IR/CSLL: 30% do lucro antes do IR de julho</t>
        </r>
      </text>
    </comment>
    <comment ref="U45" authorId="0" shapeId="0" xr:uid="{00000000-0006-0000-0000-00002B000000}">
      <text>
        <r>
          <rPr>
            <sz val="10"/>
            <rFont val="Arial"/>
            <family val="2"/>
          </rPr>
          <t>IR/CSLL: 30% do lucro antes do IR de agosto</t>
        </r>
      </text>
    </comment>
    <comment ref="H51" authorId="0" shapeId="0" xr:uid="{00000000-0006-0000-0000-00000D000000}">
      <text>
        <r>
          <rPr>
            <sz val="10"/>
            <rFont val="Arial"/>
            <family val="2"/>
          </rPr>
          <t>Regime de caixa: 102.000 das vendas + 20.000 dos vales</t>
        </r>
      </text>
    </comment>
    <comment ref="E53" authorId="0" shapeId="0" xr:uid="{00000000-0006-0000-0000-000006000000}">
      <text>
        <r>
          <rPr>
            <sz val="10"/>
            <rFont val="Arial"/>
            <family val="2"/>
          </rPr>
          <t>Só o aluguel; móveis são investimento</t>
        </r>
      </text>
    </comment>
    <comment ref="T54" authorId="0" shapeId="0" xr:uid="{00000000-0006-0000-0000-000027000000}">
      <text>
        <r>
          <rPr>
            <sz val="10"/>
            <rFont val="Arial"/>
            <family val="2"/>
          </rPr>
          <t>Juros de jul+ago pagos na quitação</t>
        </r>
      </text>
    </comment>
    <comment ref="U54" authorId="0" shapeId="0" xr:uid="{00000000-0006-0000-0000-00002C000000}">
      <text>
        <r>
          <rPr>
            <sz val="10"/>
            <rFont val="Arial"/>
            <family val="2"/>
          </rPr>
          <t>IR de julho pago em agosto</t>
        </r>
      </text>
    </comment>
    <comment ref="N60" authorId="0" shapeId="0" xr:uid="{00000000-0006-0000-0000-00001B000000}">
      <text>
        <r>
          <rPr>
            <sz val="10"/>
            <rFont val="Arial"/>
            <family val="2"/>
          </rPr>
          <t>Dividendos de julho pagos em agosto</t>
        </r>
      </text>
    </comment>
    <comment ref="M62" authorId="0" shapeId="0" xr:uid="{00000000-0006-0000-0000-000018000000}">
      <text>
        <r>
          <rPr>
            <sz val="10"/>
            <rFont val="Arial"/>
            <family val="2"/>
          </rPr>
          <t>Empresa abriu em julho: caixa inicial zero. Capital é financiamento, não saldo inicial.</t>
        </r>
      </text>
    </comment>
    <comment ref="M63" authorId="0" shapeId="0" xr:uid="{00000000-0006-0000-0000-000019000000}">
      <text>
        <r>
          <rPr>
            <sz val="10"/>
            <rFont val="Arial"/>
            <family val="2"/>
          </rPr>
          <t>Deve bater com o Caixa do BP em 30/jul</t>
        </r>
      </text>
    </comment>
    <comment ref="V63" authorId="0" shapeId="0" xr:uid="{00000000-0006-0000-0000-00002D000000}">
      <text>
        <r>
          <rPr>
            <sz val="10"/>
            <rFont val="Arial"/>
            <family val="2"/>
          </rPr>
          <t>Deve bater com o Caixa do BP em 30/ago</t>
        </r>
      </text>
    </comment>
  </commentList>
</comments>
</file>

<file path=xl/sharedStrings.xml><?xml version="1.0" encoding="utf-8"?>
<sst xmlns="http://schemas.openxmlformats.org/spreadsheetml/2006/main" count="64" uniqueCount="61">
  <si>
    <t>Transações, por Número</t>
  </si>
  <si>
    <t>Azul = input | Preto = fórmula</t>
  </si>
  <si>
    <t>Ativo Circulante</t>
  </si>
  <si>
    <t xml:space="preserve"> Caixa e Equivalentes de Caixa</t>
  </si>
  <si>
    <t xml:space="preserve"> Contas a Receber de Clientes</t>
  </si>
  <si>
    <t xml:space="preserve"> Estoques</t>
  </si>
  <si>
    <t xml:space="preserve"> Adiantamentos a Fornecedores</t>
  </si>
  <si>
    <t xml:space="preserve"> Despesas Antecipadas</t>
  </si>
  <si>
    <t>Ativo Não Circulante</t>
  </si>
  <si>
    <t xml:space="preserve"> Imobilizado</t>
  </si>
  <si>
    <t xml:space="preserve"> (-) Depreciação Acumulada</t>
  </si>
  <si>
    <t xml:space="preserve"> Intangível</t>
  </si>
  <si>
    <t xml:space="preserve"> (-) Amortização Acumulada</t>
  </si>
  <si>
    <t xml:space="preserve"> Outros Ativos Não Circulantes</t>
  </si>
  <si>
    <t>TOTAL DO ATIVO</t>
  </si>
  <si>
    <t>PASSIVO &amp; PL</t>
  </si>
  <si>
    <t>Passivo Circulante</t>
  </si>
  <si>
    <t xml:space="preserve"> Fornecedores</t>
  </si>
  <si>
    <t xml:space="preserve"> Salários e Encargos a Pagar</t>
  </si>
  <si>
    <t xml:space="preserve"> Impostos a Pagar</t>
  </si>
  <si>
    <t xml:space="preserve"> Adiantamento de Clientes</t>
  </si>
  <si>
    <t xml:space="preserve"> Dividendos a Pagar</t>
  </si>
  <si>
    <t xml:space="preserve"> Juros a Pagar</t>
  </si>
  <si>
    <t>Passivo Não Circulante</t>
  </si>
  <si>
    <t xml:space="preserve"> Empréstimos e Financiamentos (LP)</t>
  </si>
  <si>
    <t xml:space="preserve"> Outras Obrigações a Longo Prazo</t>
  </si>
  <si>
    <t>Patrimônio Líquido</t>
  </si>
  <si>
    <t xml:space="preserve"> Capital Social</t>
  </si>
  <si>
    <t xml:space="preserve"> Lucros/Prejuízos Acumulados</t>
  </si>
  <si>
    <t>TOTAL DO PASSIVO + PL</t>
  </si>
  <si>
    <t>DIFERENÇA, SE HOUVER</t>
  </si>
  <si>
    <t>DRE</t>
  </si>
  <si>
    <t>Julho</t>
  </si>
  <si>
    <t>Agosto</t>
  </si>
  <si>
    <t>Receita de Vendas</t>
  </si>
  <si>
    <t xml:space="preserve"> CMV</t>
  </si>
  <si>
    <t>Lucro Bruto</t>
  </si>
  <si>
    <t>Despesas Operacionais</t>
  </si>
  <si>
    <t xml:space="preserve">  Despesas de Vendas</t>
  </si>
  <si>
    <t xml:space="preserve">  Despesas Gerais e Admin.</t>
  </si>
  <si>
    <t xml:space="preserve">  Outras Desp./Rec. Operacionais</t>
  </si>
  <si>
    <t>Lucro antes do result. fin. (EBIT)</t>
  </si>
  <si>
    <t xml:space="preserve">  Despesa de juros</t>
  </si>
  <si>
    <t>Lucro antes do IR</t>
  </si>
  <si>
    <t xml:space="preserve">  IR e CSLL</t>
  </si>
  <si>
    <t>Lucro Líquido</t>
  </si>
  <si>
    <t>DFC</t>
  </si>
  <si>
    <t>OPERAÇÕES</t>
  </si>
  <si>
    <t xml:space="preserve"> Recebimentos de clientes</t>
  </si>
  <si>
    <t xml:space="preserve"> (-) Pagamentos a fornecedores</t>
  </si>
  <si>
    <t xml:space="preserve"> (-) Pagamentos de despesas operacionais</t>
  </si>
  <si>
    <t xml:space="preserve"> (-) Impostos e juros pagos</t>
  </si>
  <si>
    <t>INVESTIMENTOS</t>
  </si>
  <si>
    <t xml:space="preserve"> (-) Aquisição de imobilizado / intangível</t>
  </si>
  <si>
    <t xml:space="preserve"> (+) Venda de ativos não circulantes</t>
  </si>
  <si>
    <t>FINANCIAMENTOS</t>
  </si>
  <si>
    <t xml:space="preserve"> (+) Integralização de capital / captação de empréstimos</t>
  </si>
  <si>
    <t xml:space="preserve"> (-) Amortização de empréstimos / distribuição de lucros</t>
  </si>
  <si>
    <t>VARIAÇÃO DO CAIXA</t>
  </si>
  <si>
    <t>Saldo inicial</t>
  </si>
  <si>
    <t>Saldo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</si>
</sst>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/mmm"/>
    <numFmt numFmtId="165" formatCode="_(* #,##0.00_);_(* \(#,##0.00\);_(* \-??_);_(@_)"/>
    <numFmt numFmtId="166" formatCode="_(* #,##0_);_(* \(#,##0\);_(* \-??_);_(@_)"/>
    <numFmt numFmtId="167" formatCode="#,##0;\(#,##0\);\-"/>
  </numFmts>
  <fonts count="17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1"/>
      <color rgb="FF0070C0"/>
      <name val="Calibri"/>
      <family val="2"/>
      <charset val="1"/>
    </font>
    <font>
      <sz val="11"/>
      <color rgb="FF0070C0"/>
      <name val="Calibri"/>
      <family val="2"/>
      <charset val="1"/>
    </font>
    <font>
      <b/>
      <sz val="11"/>
      <color theme="1"/>
      <name val="Calibri"/>
      <family val="2"/>
      <charset val="1"/>
    </font>
    <font>
      <i/>
      <sz val="9"/>
      <color rgb="FF808080"/>
      <name val="Cambria"/>
      <family val="1"/>
    </font>
    <font>
      <b/>
      <i/>
      <u/>
      <sz val="10"/>
      <color theme="1"/>
      <name val="Arial"/>
      <family val="2"/>
      <charset val="1"/>
    </font>
    <font>
      <sz val="10"/>
      <color theme="1"/>
      <name val="Arial"/>
      <family val="2"/>
      <charset val="1"/>
    </font>
    <font>
      <sz val="11"/>
      <color rgb="FF0000FF"/>
      <name val="Cambria"/>
      <family val="1"/>
    </font>
    <font>
      <b/>
      <sz val="10"/>
      <color theme="1"/>
      <name val="Arial"/>
      <family val="2"/>
      <charset val="1"/>
    </font>
    <font>
      <b/>
      <sz val="11"/>
      <name val="Cambria"/>
      <family val="1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charset val="1"/>
    </font>
    <font>
      <i/>
      <u/>
      <sz val="10"/>
      <color theme="1"/>
      <name val="Arial"/>
      <family val="2"/>
      <charset val="1"/>
    </font>
    <font>
      <u/>
      <sz val="10"/>
      <color theme="1"/>
      <name val="Arial"/>
      <family val="2"/>
      <charset val="1"/>
    </font>
    <font>
      <sz val="11"/>
      <color theme="1"/>
      <name val="Calibri"/>
      <family val="2"/>
      <charset val="1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89013336588644"/>
        <bgColor rgb="FFCCFFFF"/>
      </patternFill>
    </fill>
    <fill>
      <patternFill patternType="solid">
        <fgColor theme="0"/>
        <bgColor rgb="FFFFFFCC"/>
      </patternFill>
    </fill>
    <fill>
      <patternFill patternType="solid">
        <fgColor rgb="FFFFFF00"/>
        <bgColor rgb="FFFFFF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165" fontId="15" fillId="0" borderId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2" borderId="0" xfId="0" applyFont="1" applyFill="1" applyAlignment="1">
      <alignment horizontal="center" wrapText="1"/>
    </xf>
    <xf numFmtId="0" fontId="4" fillId="3" borderId="0" xfId="0" applyFont="1" applyFill="1"/>
    <xf numFmtId="0" fontId="2" fillId="3" borderId="0" xfId="0" applyFont="1" applyFill="1"/>
    <xf numFmtId="0" fontId="2" fillId="2" borderId="0" xfId="0" applyFont="1" applyFill="1"/>
    <xf numFmtId="0" fontId="5" fillId="3" borderId="0" xfId="0" applyFont="1" applyFill="1"/>
    <xf numFmtId="164" fontId="2" fillId="2" borderId="0" xfId="0" applyNumberFormat="1" applyFont="1" applyFill="1"/>
    <xf numFmtId="0" fontId="2" fillId="0" borderId="0" xfId="0" applyFont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6" fillId="0" borderId="0" xfId="0" applyFont="1" applyAlignment="1">
      <alignment horizontal="left" vertical="center"/>
    </xf>
    <xf numFmtId="166" fontId="2" fillId="2" borderId="0" xfId="1" applyNumberFormat="1" applyFont="1" applyFill="1"/>
    <xf numFmtId="166" fontId="2" fillId="0" borderId="0" xfId="1" applyNumberFormat="1" applyFont="1"/>
    <xf numFmtId="0" fontId="7" fillId="0" borderId="0" xfId="0" applyFont="1" applyAlignment="1">
      <alignment horizontal="left" vertical="center"/>
    </xf>
    <xf numFmtId="167" fontId="8" fillId="0" borderId="0" xfId="0" applyNumberFormat="1" applyFont="1"/>
    <xf numFmtId="167" fontId="8" fillId="0" borderId="0" xfId="1" applyNumberFormat="1" applyFont="1"/>
    <xf numFmtId="167" fontId="2" fillId="2" borderId="0" xfId="1" applyNumberFormat="1" applyFont="1" applyFill="1"/>
    <xf numFmtId="167" fontId="2" fillId="0" borderId="0" xfId="1" applyNumberFormat="1" applyFont="1"/>
    <xf numFmtId="0" fontId="9" fillId="2" borderId="1" xfId="0" applyFont="1" applyFill="1" applyBorder="1" applyAlignment="1">
      <alignment horizontal="left" vertical="center"/>
    </xf>
    <xf numFmtId="167" fontId="10" fillId="2" borderId="1" xfId="1" applyNumberFormat="1" applyFont="1" applyFill="1" applyBorder="1"/>
    <xf numFmtId="167" fontId="10" fillId="0" borderId="0" xfId="0" applyNumberFormat="1" applyFont="1"/>
    <xf numFmtId="0" fontId="9" fillId="0" borderId="0" xfId="0" applyFont="1" applyAlignment="1">
      <alignment horizontal="left" vertical="center"/>
    </xf>
    <xf numFmtId="167" fontId="0" fillId="0" borderId="0" xfId="0" applyNumberFormat="1"/>
    <xf numFmtId="0" fontId="11" fillId="3" borderId="0" xfId="0" applyFont="1" applyFill="1"/>
    <xf numFmtId="0" fontId="12" fillId="4" borderId="1" xfId="0" applyFont="1" applyFill="1" applyBorder="1"/>
    <xf numFmtId="167" fontId="10" fillId="4" borderId="1" xfId="1" applyNumberFormat="1" applyFont="1" applyFill="1" applyBorder="1"/>
    <xf numFmtId="166" fontId="2" fillId="3" borderId="0" xfId="1" applyNumberFormat="1" applyFont="1" applyFill="1"/>
    <xf numFmtId="0" fontId="3" fillId="3" borderId="0" xfId="0" applyFont="1" applyFill="1"/>
    <xf numFmtId="0" fontId="9" fillId="0" borderId="1" xfId="0" applyFont="1" applyBorder="1" applyAlignment="1">
      <alignment horizontal="justify" vertical="center"/>
    </xf>
    <xf numFmtId="166" fontId="2" fillId="0" borderId="1" xfId="1" applyNumberFormat="1" applyFont="1" applyBorder="1"/>
    <xf numFmtId="164" fontId="2" fillId="2" borderId="1" xfId="0" applyNumberFormat="1" applyFont="1" applyFill="1" applyBorder="1" applyAlignment="1">
      <alignment horizontal="center"/>
    </xf>
    <xf numFmtId="0" fontId="7" fillId="0" borderId="2" xfId="0" applyFont="1" applyBorder="1" applyAlignment="1">
      <alignment horizontal="left" vertical="center"/>
    </xf>
    <xf numFmtId="167" fontId="2" fillId="2" borderId="3" xfId="1" applyNumberFormat="1" applyFont="1" applyFill="1" applyBorder="1"/>
    <xf numFmtId="0" fontId="9" fillId="0" borderId="2" xfId="0" applyFont="1" applyBorder="1" applyAlignment="1">
      <alignment horizontal="left" vertical="center"/>
    </xf>
    <xf numFmtId="167" fontId="10" fillId="0" borderId="0" xfId="1" applyNumberFormat="1" applyFont="1"/>
    <xf numFmtId="167" fontId="10" fillId="2" borderId="3" xfId="1" applyNumberFormat="1" applyFont="1" applyFill="1" applyBorder="1"/>
    <xf numFmtId="0" fontId="13" fillId="0" borderId="2" xfId="0" applyFont="1" applyBorder="1" applyAlignment="1">
      <alignment horizontal="left" vertical="center"/>
    </xf>
    <xf numFmtId="166" fontId="2" fillId="2" borderId="3" xfId="1" applyNumberFormat="1" applyFont="1" applyFill="1" applyBorder="1"/>
    <xf numFmtId="0" fontId="2" fillId="0" borderId="1" xfId="0" applyFont="1" applyBorder="1"/>
    <xf numFmtId="0" fontId="2" fillId="0" borderId="4" xfId="0" applyFont="1" applyBorder="1"/>
    <xf numFmtId="0" fontId="14" fillId="0" borderId="5" xfId="0" applyFont="1" applyBorder="1" applyAlignment="1">
      <alignment horizontal="left" vertical="center"/>
    </xf>
    <xf numFmtId="166" fontId="2" fillId="2" borderId="6" xfId="1" applyNumberFormat="1" applyFont="1" applyFill="1" applyBorder="1"/>
    <xf numFmtId="167" fontId="2" fillId="2" borderId="6" xfId="1" applyNumberFormat="1" applyFont="1" applyFill="1" applyBorder="1"/>
    <xf numFmtId="166" fontId="2" fillId="0" borderId="7" xfId="1" applyNumberFormat="1" applyFont="1" applyBorder="1"/>
    <xf numFmtId="166" fontId="2" fillId="2" borderId="8" xfId="1" applyNumberFormat="1" applyFont="1" applyFill="1" applyBorder="1"/>
    <xf numFmtId="0" fontId="9" fillId="0" borderId="9" xfId="0" applyFont="1" applyBorder="1" applyAlignment="1">
      <alignment horizontal="left" vertical="center"/>
    </xf>
    <xf numFmtId="166" fontId="2" fillId="0" borderId="10" xfId="1" applyNumberFormat="1" applyFont="1" applyBorder="1"/>
    <xf numFmtId="167" fontId="2" fillId="2" borderId="11" xfId="1" applyNumberFormat="1" applyFont="1" applyFill="1" applyBorder="1"/>
    <xf numFmtId="0" fontId="14" fillId="0" borderId="2" xfId="0" applyFont="1" applyBorder="1" applyAlignment="1">
      <alignment horizontal="left" vertical="center"/>
    </xf>
    <xf numFmtId="167" fontId="10" fillId="2" borderId="1" xfId="0" applyNumberFormat="1" applyFont="1" applyFill="1" applyBorder="1"/>
    <xf numFmtId="167" fontId="10" fillId="2" borderId="12" xfId="0" applyNumberFormat="1" applyFont="1" applyFill="1" applyBorder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63"/>
  <sheetViews>
    <sheetView tabSelected="1" zoomScale="110" zoomScaleNormal="110" workbookViewId="0">
      <pane xSplit="1" ySplit="2" topLeftCell="B41" activePane="bottomRight" state="frozen"/>
      <selection pane="topRight" activeCell="B1" sqref="B1"/>
      <selection pane="bottomLeft" activeCell="A3" sqref="A3"/>
      <selection pane="bottomRight" activeCell="M68" sqref="M68"/>
    </sheetView>
  </sheetViews>
  <sheetFormatPr baseColWidth="10" defaultColWidth="8.6640625" defaultRowHeight="15" x14ac:dyDescent="0.2"/>
  <cols>
    <col min="1" max="1" width="29.1640625" customWidth="1"/>
    <col min="2" max="2" width="9.6640625" style="1" customWidth="1"/>
    <col min="3" max="14" width="8.6640625" style="2"/>
    <col min="15" max="15" width="10" style="2" bestFit="1" customWidth="1"/>
    <col min="16" max="16" width="9.33203125" style="2" bestFit="1" customWidth="1"/>
    <col min="17" max="29" width="8.6640625" style="2"/>
  </cols>
  <sheetData>
    <row r="1" spans="1:47" s="3" customFormat="1" x14ac:dyDescent="0.2">
      <c r="B1" s="4"/>
      <c r="D1" s="5"/>
      <c r="E1" s="6"/>
      <c r="F1" s="6"/>
      <c r="G1" s="6" t="s">
        <v>0</v>
      </c>
      <c r="H1" s="6"/>
      <c r="I1" s="6"/>
      <c r="J1" s="6"/>
      <c r="K1" s="6"/>
      <c r="L1" s="6"/>
      <c r="M1" s="7"/>
      <c r="N1" s="6"/>
      <c r="O1" s="6"/>
      <c r="P1" s="6"/>
      <c r="Q1" s="6" t="s">
        <v>0</v>
      </c>
      <c r="R1" s="6"/>
      <c r="S1" s="6"/>
      <c r="T1" s="6"/>
      <c r="U1" s="6"/>
      <c r="V1" s="7"/>
      <c r="W1" s="8" t="s">
        <v>1</v>
      </c>
      <c r="X1" s="6"/>
      <c r="Y1" s="6"/>
      <c r="Z1" s="6"/>
      <c r="AA1" s="6"/>
      <c r="AB1" s="6"/>
      <c r="AC1" s="6"/>
      <c r="AD1" s="6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</row>
    <row r="2" spans="1:47" x14ac:dyDescent="0.2">
      <c r="B2" s="9">
        <v>45838</v>
      </c>
      <c r="C2" s="2">
        <v>0</v>
      </c>
      <c r="D2" s="10">
        <v>1</v>
      </c>
      <c r="E2" s="10">
        <v>2</v>
      </c>
      <c r="F2" s="10">
        <v>3</v>
      </c>
      <c r="G2" s="10">
        <v>4</v>
      </c>
      <c r="H2" s="10">
        <v>5</v>
      </c>
      <c r="I2" s="10">
        <v>6</v>
      </c>
      <c r="J2" s="10">
        <v>7</v>
      </c>
      <c r="K2" s="10">
        <v>8</v>
      </c>
      <c r="L2" s="10">
        <v>9</v>
      </c>
      <c r="M2" s="11">
        <v>45868</v>
      </c>
      <c r="N2" s="10">
        <v>1</v>
      </c>
      <c r="O2" s="10">
        <v>2</v>
      </c>
      <c r="P2" s="10">
        <v>3</v>
      </c>
      <c r="Q2" s="10">
        <v>4</v>
      </c>
      <c r="R2" s="10">
        <v>5</v>
      </c>
      <c r="S2" s="10">
        <v>6</v>
      </c>
      <c r="T2" s="10">
        <v>7</v>
      </c>
      <c r="U2" s="10">
        <v>8</v>
      </c>
      <c r="V2" s="11">
        <v>45899</v>
      </c>
    </row>
    <row r="3" spans="1:47" x14ac:dyDescent="0.2">
      <c r="A3" s="12" t="s">
        <v>2</v>
      </c>
      <c r="B3" s="13"/>
      <c r="D3" s="14"/>
      <c r="E3" s="14"/>
      <c r="F3" s="14"/>
      <c r="G3" s="14"/>
      <c r="H3" s="14"/>
      <c r="I3" s="14"/>
      <c r="J3" s="14"/>
      <c r="K3" s="14"/>
      <c r="L3" s="14"/>
      <c r="M3" s="13"/>
      <c r="N3" s="14"/>
      <c r="O3" s="14"/>
      <c r="P3" s="14"/>
      <c r="Q3" s="14"/>
      <c r="R3" s="14"/>
      <c r="S3" s="14"/>
      <c r="T3" s="14"/>
      <c r="U3" s="14"/>
      <c r="V3" s="13"/>
      <c r="W3" s="14"/>
      <c r="X3" s="14"/>
      <c r="Y3" s="14"/>
      <c r="Z3" s="14"/>
      <c r="AA3" s="14"/>
      <c r="AB3" s="14"/>
      <c r="AC3" s="14"/>
    </row>
    <row r="4" spans="1:47" x14ac:dyDescent="0.2">
      <c r="A4" s="15" t="s">
        <v>3</v>
      </c>
      <c r="B4" s="13"/>
      <c r="C4" s="16">
        <v>80000</v>
      </c>
      <c r="D4" s="17">
        <v>50000</v>
      </c>
      <c r="E4" s="17">
        <v>-22200</v>
      </c>
      <c r="F4" s="17">
        <v>-100000</v>
      </c>
      <c r="G4" s="17">
        <v>-1200</v>
      </c>
      <c r="H4" s="17">
        <v>122000</v>
      </c>
      <c r="I4" s="17">
        <v>-1000</v>
      </c>
      <c r="J4" s="14"/>
      <c r="K4" s="14"/>
      <c r="L4" s="14"/>
      <c r="M4" s="18">
        <f>SUM(B4:L4)</f>
        <v>127600</v>
      </c>
      <c r="N4" s="19">
        <f>50000-1000-M22</f>
        <v>34594</v>
      </c>
      <c r="O4" s="17">
        <v>-155000</v>
      </c>
      <c r="P4" s="17">
        <v>156000</v>
      </c>
      <c r="Q4" s="17">
        <v>250</v>
      </c>
      <c r="R4" s="17">
        <v>-1000</v>
      </c>
      <c r="S4" s="14"/>
      <c r="T4" s="17">
        <v>-51000</v>
      </c>
      <c r="U4" s="19">
        <f>-M20</f>
        <v>-15435</v>
      </c>
      <c r="V4" s="18">
        <f>SUM(M4:U4)</f>
        <v>96009</v>
      </c>
      <c r="W4" s="14"/>
      <c r="X4" s="14"/>
      <c r="Y4" s="14"/>
      <c r="Z4" s="14"/>
      <c r="AA4" s="14"/>
      <c r="AB4" s="14"/>
      <c r="AC4" s="14"/>
    </row>
    <row r="5" spans="1:47" x14ac:dyDescent="0.2">
      <c r="A5" s="15" t="s">
        <v>4</v>
      </c>
      <c r="B5" s="13"/>
      <c r="D5" s="14"/>
      <c r="E5" s="14"/>
      <c r="F5" s="14"/>
      <c r="G5" s="14"/>
      <c r="H5" s="17">
        <v>50000</v>
      </c>
      <c r="I5" s="14"/>
      <c r="J5" s="14"/>
      <c r="K5" s="14"/>
      <c r="L5" s="14"/>
      <c r="M5" s="18">
        <f>SUM(B5:L5)</f>
        <v>50000</v>
      </c>
      <c r="N5" s="17">
        <v>-50000</v>
      </c>
      <c r="O5" s="14"/>
      <c r="P5" s="17">
        <v>24000</v>
      </c>
      <c r="Q5" s="14"/>
      <c r="R5" s="14"/>
      <c r="S5" s="14"/>
      <c r="T5" s="14"/>
      <c r="U5" s="14"/>
      <c r="V5" s="18">
        <f>SUM(M5:U5)</f>
        <v>24000</v>
      </c>
      <c r="W5" s="14"/>
      <c r="X5" s="14"/>
      <c r="Y5" s="14"/>
      <c r="Z5" s="14"/>
      <c r="AA5" s="14"/>
      <c r="AB5" s="14"/>
      <c r="AC5" s="14"/>
    </row>
    <row r="6" spans="1:47" x14ac:dyDescent="0.2">
      <c r="A6" s="15" t="s">
        <v>5</v>
      </c>
      <c r="B6" s="13"/>
      <c r="D6" s="14"/>
      <c r="E6" s="14"/>
      <c r="F6" s="17">
        <v>100000</v>
      </c>
      <c r="G6" s="14"/>
      <c r="H6" s="17">
        <v>-96000</v>
      </c>
      <c r="I6" s="14"/>
      <c r="J6" s="14"/>
      <c r="K6" s="14"/>
      <c r="L6" s="14"/>
      <c r="M6" s="18">
        <f>SUM(B6:L6)</f>
        <v>4000</v>
      </c>
      <c r="N6" s="14"/>
      <c r="O6" s="17">
        <v>170000</v>
      </c>
      <c r="P6" s="17">
        <v>-151000</v>
      </c>
      <c r="Q6" s="14"/>
      <c r="R6" s="14"/>
      <c r="S6" s="14"/>
      <c r="T6" s="14"/>
      <c r="U6" s="14"/>
      <c r="V6" s="18">
        <f>SUM(M6:U6)</f>
        <v>23000</v>
      </c>
      <c r="W6" s="14"/>
      <c r="X6" s="14"/>
      <c r="Y6" s="14"/>
      <c r="Z6" s="14"/>
      <c r="AA6" s="14"/>
      <c r="AB6" s="14"/>
      <c r="AC6" s="14"/>
    </row>
    <row r="7" spans="1:47" x14ac:dyDescent="0.2">
      <c r="A7" s="15" t="s">
        <v>6</v>
      </c>
      <c r="B7" s="13"/>
      <c r="D7" s="14"/>
      <c r="E7" s="14"/>
      <c r="F7" s="14"/>
      <c r="G7" s="14"/>
      <c r="H7" s="14"/>
      <c r="I7" s="14"/>
      <c r="J7" s="14"/>
      <c r="K7" s="14"/>
      <c r="L7" s="14"/>
      <c r="M7" s="18">
        <f>SUM(B7:L7)</f>
        <v>0</v>
      </c>
      <c r="N7" s="14"/>
      <c r="O7" s="14"/>
      <c r="P7" s="14"/>
      <c r="Q7" s="14"/>
      <c r="R7" s="14"/>
      <c r="S7" s="14"/>
      <c r="T7" s="14"/>
      <c r="U7" s="14"/>
      <c r="V7" s="18">
        <f>SUM(M7:U7)</f>
        <v>0</v>
      </c>
      <c r="W7" s="14"/>
      <c r="X7" s="14"/>
      <c r="Y7" s="14"/>
      <c r="Z7" s="14"/>
      <c r="AA7" s="14"/>
      <c r="AB7" s="14"/>
      <c r="AC7" s="14"/>
    </row>
    <row r="8" spans="1:47" x14ac:dyDescent="0.2">
      <c r="A8" s="15" t="s">
        <v>7</v>
      </c>
      <c r="B8" s="13"/>
      <c r="D8" s="14"/>
      <c r="E8" s="17">
        <v>9000</v>
      </c>
      <c r="F8" s="14"/>
      <c r="G8" s="17">
        <v>1200</v>
      </c>
      <c r="H8" s="14"/>
      <c r="I8" s="14"/>
      <c r="J8" s="17">
        <v>-1500</v>
      </c>
      <c r="K8" s="14"/>
      <c r="L8" s="14"/>
      <c r="M8" s="18">
        <f>SUM(B8:L8)</f>
        <v>8700</v>
      </c>
      <c r="N8" s="14"/>
      <c r="O8" s="14"/>
      <c r="P8" s="14"/>
      <c r="Q8" s="14"/>
      <c r="R8" s="14"/>
      <c r="S8" s="17">
        <v>-1200</v>
      </c>
      <c r="T8" s="14"/>
      <c r="U8" s="17">
        <v>-1500</v>
      </c>
      <c r="V8" s="18">
        <f>SUM(M8:U8)</f>
        <v>6000</v>
      </c>
      <c r="W8" s="14"/>
      <c r="X8" s="14"/>
      <c r="Y8" s="14"/>
      <c r="Z8" s="14"/>
      <c r="AA8" s="14"/>
      <c r="AB8" s="14"/>
      <c r="AC8" s="14"/>
    </row>
    <row r="9" spans="1:47" x14ac:dyDescent="0.2">
      <c r="A9" s="12" t="s">
        <v>8</v>
      </c>
      <c r="B9" s="13"/>
      <c r="D9" s="14"/>
      <c r="E9" s="14"/>
      <c r="F9" s="14"/>
      <c r="G9" s="14"/>
      <c r="H9" s="14"/>
      <c r="I9" s="14"/>
      <c r="J9" s="14"/>
      <c r="K9" s="14"/>
      <c r="L9" s="14"/>
      <c r="M9" s="13"/>
      <c r="N9" s="14"/>
      <c r="O9" s="14"/>
      <c r="P9" s="14"/>
      <c r="Q9" s="14"/>
      <c r="R9" s="14"/>
      <c r="S9" s="14"/>
      <c r="T9" s="14"/>
      <c r="U9" s="14"/>
      <c r="V9" s="13"/>
      <c r="W9" s="14"/>
      <c r="X9" s="14"/>
      <c r="Y9" s="14"/>
      <c r="Z9" s="14"/>
      <c r="AA9" s="14"/>
      <c r="AB9" s="14"/>
      <c r="AC9" s="14"/>
    </row>
    <row r="10" spans="1:47" x14ac:dyDescent="0.2">
      <c r="A10" s="15" t="s">
        <v>9</v>
      </c>
      <c r="B10" s="13"/>
      <c r="D10" s="14"/>
      <c r="E10" s="17">
        <v>13200</v>
      </c>
      <c r="F10" s="14"/>
      <c r="G10" s="14"/>
      <c r="H10" s="14"/>
      <c r="I10" s="14"/>
      <c r="J10" s="14"/>
      <c r="K10" s="14"/>
      <c r="L10" s="14"/>
      <c r="M10" s="18">
        <f>SUM(B10:L10)</f>
        <v>13200</v>
      </c>
      <c r="N10" s="14"/>
      <c r="O10" s="14"/>
      <c r="P10" s="14"/>
      <c r="Q10" s="14"/>
      <c r="R10" s="14"/>
      <c r="S10" s="14"/>
      <c r="T10" s="14"/>
      <c r="U10" s="14"/>
      <c r="V10" s="18">
        <f>SUM(M10:U10)</f>
        <v>13200</v>
      </c>
      <c r="W10" s="14"/>
      <c r="X10" s="14"/>
      <c r="Y10" s="14"/>
      <c r="Z10" s="14"/>
      <c r="AA10" s="14"/>
      <c r="AB10" s="14"/>
      <c r="AC10" s="14"/>
    </row>
    <row r="11" spans="1:47" x14ac:dyDescent="0.2">
      <c r="A11" s="15" t="s">
        <v>10</v>
      </c>
      <c r="B11" s="13"/>
      <c r="D11" s="14"/>
      <c r="E11" s="14"/>
      <c r="F11" s="14"/>
      <c r="G11" s="14"/>
      <c r="H11" s="14"/>
      <c r="I11" s="14"/>
      <c r="J11" s="17">
        <v>-550</v>
      </c>
      <c r="K11" s="14"/>
      <c r="L11" s="14"/>
      <c r="M11" s="18">
        <f>SUM(B11:L11)</f>
        <v>-550</v>
      </c>
      <c r="N11" s="14"/>
      <c r="O11" s="14"/>
      <c r="P11" s="14"/>
      <c r="Q11" s="14"/>
      <c r="R11" s="14"/>
      <c r="S11" s="14"/>
      <c r="T11" s="14"/>
      <c r="U11" s="17">
        <v>-550</v>
      </c>
      <c r="V11" s="18">
        <f>SUM(M11:U11)</f>
        <v>-1100</v>
      </c>
      <c r="W11" s="14"/>
      <c r="X11" s="14"/>
      <c r="Y11" s="14"/>
      <c r="Z11" s="14"/>
      <c r="AA11" s="14"/>
      <c r="AB11" s="14"/>
      <c r="AC11" s="14"/>
    </row>
    <row r="12" spans="1:47" x14ac:dyDescent="0.2">
      <c r="A12" s="15" t="s">
        <v>11</v>
      </c>
      <c r="B12" s="13"/>
      <c r="D12" s="14"/>
      <c r="E12" s="14"/>
      <c r="F12" s="14"/>
      <c r="G12" s="14"/>
      <c r="H12" s="14"/>
      <c r="I12" s="14"/>
      <c r="J12" s="14"/>
      <c r="K12" s="14"/>
      <c r="L12" s="14"/>
      <c r="M12" s="18">
        <f>SUM(B12:L12)</f>
        <v>0</v>
      </c>
      <c r="N12" s="14"/>
      <c r="O12" s="14"/>
      <c r="P12" s="14"/>
      <c r="Q12" s="14"/>
      <c r="R12" s="14"/>
      <c r="S12" s="14"/>
      <c r="T12" s="14"/>
      <c r="U12" s="14"/>
      <c r="V12" s="18">
        <f>SUM(M12:U12)</f>
        <v>0</v>
      </c>
      <c r="W12" s="14"/>
      <c r="X12" s="14"/>
      <c r="Y12" s="14"/>
      <c r="Z12" s="14"/>
      <c r="AA12" s="14"/>
      <c r="AB12" s="14"/>
      <c r="AC12" s="14"/>
    </row>
    <row r="13" spans="1:47" x14ac:dyDescent="0.2">
      <c r="A13" s="15" t="s">
        <v>12</v>
      </c>
      <c r="B13" s="13"/>
      <c r="D13" s="14"/>
      <c r="E13" s="14"/>
      <c r="F13" s="14"/>
      <c r="G13" s="14"/>
      <c r="H13" s="14"/>
      <c r="I13" s="14"/>
      <c r="J13" s="14"/>
      <c r="K13" s="14"/>
      <c r="L13" s="14"/>
      <c r="M13" s="18">
        <f>SUM(B13:L13)</f>
        <v>0</v>
      </c>
      <c r="N13" s="14"/>
      <c r="O13" s="14"/>
      <c r="P13" s="14"/>
      <c r="Q13" s="14"/>
      <c r="R13" s="14"/>
      <c r="S13" s="14"/>
      <c r="T13" s="14"/>
      <c r="U13" s="14"/>
      <c r="V13" s="18">
        <f>SUM(M13:U13)</f>
        <v>0</v>
      </c>
      <c r="W13" s="14"/>
      <c r="X13" s="14"/>
      <c r="Y13" s="14"/>
      <c r="Z13" s="14"/>
      <c r="AA13" s="14"/>
      <c r="AB13" s="14"/>
      <c r="AC13" s="14"/>
    </row>
    <row r="14" spans="1:47" x14ac:dyDescent="0.2">
      <c r="A14" s="15" t="s">
        <v>13</v>
      </c>
      <c r="B14" s="13"/>
      <c r="D14" s="14"/>
      <c r="E14" s="14"/>
      <c r="F14" s="14"/>
      <c r="G14" s="14"/>
      <c r="H14" s="14"/>
      <c r="I14" s="14"/>
      <c r="J14" s="14"/>
      <c r="K14" s="14"/>
      <c r="L14" s="14"/>
      <c r="M14" s="18">
        <f>SUM(B14:L14)</f>
        <v>0</v>
      </c>
      <c r="N14" s="14"/>
      <c r="O14" s="14"/>
      <c r="P14" s="14"/>
      <c r="Q14" s="14"/>
      <c r="R14" s="14"/>
      <c r="S14" s="14"/>
      <c r="T14" s="14"/>
      <c r="U14" s="14"/>
      <c r="V14" s="18">
        <f>SUM(M14:U14)</f>
        <v>0</v>
      </c>
      <c r="W14" s="14"/>
      <c r="X14" s="14"/>
      <c r="Y14" s="14"/>
      <c r="Z14" s="14"/>
      <c r="AA14" s="14"/>
      <c r="AB14" s="14"/>
      <c r="AC14" s="14"/>
    </row>
    <row r="15" spans="1:47" s="3" customFormat="1" x14ac:dyDescent="0.2">
      <c r="A15" s="20" t="s">
        <v>14</v>
      </c>
      <c r="B15" s="21">
        <f t="shared" ref="B15:V15" si="0">SUM(B4:B14)</f>
        <v>0</v>
      </c>
      <c r="C15" s="22">
        <f t="shared" si="0"/>
        <v>80000</v>
      </c>
      <c r="D15" s="21">
        <f t="shared" si="0"/>
        <v>50000</v>
      </c>
      <c r="E15" s="21">
        <f t="shared" si="0"/>
        <v>0</v>
      </c>
      <c r="F15" s="21">
        <f t="shared" si="0"/>
        <v>0</v>
      </c>
      <c r="G15" s="21">
        <f t="shared" si="0"/>
        <v>0</v>
      </c>
      <c r="H15" s="21">
        <f t="shared" si="0"/>
        <v>76000</v>
      </c>
      <c r="I15" s="21">
        <f t="shared" si="0"/>
        <v>-1000</v>
      </c>
      <c r="J15" s="21">
        <f t="shared" si="0"/>
        <v>-2050</v>
      </c>
      <c r="K15" s="21">
        <f t="shared" si="0"/>
        <v>0</v>
      </c>
      <c r="L15" s="21">
        <f t="shared" si="0"/>
        <v>0</v>
      </c>
      <c r="M15" s="21">
        <f t="shared" si="0"/>
        <v>202950</v>
      </c>
      <c r="N15" s="21">
        <f t="shared" si="0"/>
        <v>-15406</v>
      </c>
      <c r="O15" s="21">
        <f t="shared" si="0"/>
        <v>15000</v>
      </c>
      <c r="P15" s="21">
        <f t="shared" si="0"/>
        <v>29000</v>
      </c>
      <c r="Q15" s="21">
        <f t="shared" si="0"/>
        <v>250</v>
      </c>
      <c r="R15" s="21">
        <f t="shared" si="0"/>
        <v>-1000</v>
      </c>
      <c r="S15" s="21">
        <f t="shared" si="0"/>
        <v>-1200</v>
      </c>
      <c r="T15" s="21">
        <f t="shared" si="0"/>
        <v>-51000</v>
      </c>
      <c r="U15" s="21">
        <f t="shared" si="0"/>
        <v>-17485</v>
      </c>
      <c r="V15" s="21">
        <f t="shared" si="0"/>
        <v>161109</v>
      </c>
      <c r="W15" s="14"/>
      <c r="X15" s="14"/>
      <c r="Y15" s="14"/>
      <c r="Z15" s="14"/>
      <c r="AA15" s="14"/>
      <c r="AB15" s="14"/>
      <c r="AC15" s="14"/>
      <c r="AD15" s="1"/>
    </row>
    <row r="16" spans="1:47" x14ac:dyDescent="0.2">
      <c r="A16" s="23" t="s">
        <v>15</v>
      </c>
      <c r="B16" s="13"/>
      <c r="D16" s="14"/>
      <c r="E16" s="14"/>
      <c r="F16" s="14"/>
      <c r="G16" s="14"/>
      <c r="H16" s="14"/>
      <c r="I16" s="14"/>
      <c r="J16" s="14"/>
      <c r="K16" s="14"/>
      <c r="L16" s="14"/>
      <c r="M16" s="13"/>
      <c r="N16" s="14"/>
      <c r="O16" s="14"/>
      <c r="P16" s="14"/>
      <c r="Q16" s="14"/>
      <c r="R16" s="14"/>
      <c r="S16" s="14"/>
      <c r="T16" s="14"/>
      <c r="U16" s="14"/>
      <c r="V16" s="13"/>
      <c r="W16" s="14"/>
      <c r="X16" s="14"/>
      <c r="Y16" s="14"/>
      <c r="Z16" s="14"/>
      <c r="AA16" s="14"/>
      <c r="AB16" s="14"/>
      <c r="AC16" s="14"/>
    </row>
    <row r="17" spans="1:30" x14ac:dyDescent="0.2">
      <c r="A17" s="12" t="s">
        <v>16</v>
      </c>
      <c r="B17" s="13"/>
      <c r="D17" s="14"/>
      <c r="E17" s="14"/>
      <c r="F17" s="14"/>
      <c r="G17" s="14"/>
      <c r="H17" s="14"/>
      <c r="I17" s="14"/>
      <c r="J17" s="14"/>
      <c r="K17" s="14"/>
      <c r="L17" s="14"/>
      <c r="M17" s="13"/>
      <c r="N17" s="14"/>
      <c r="O17" s="14"/>
      <c r="P17" s="14"/>
      <c r="Q17" s="14"/>
      <c r="R17" s="14"/>
      <c r="S17" s="14"/>
      <c r="T17" s="14"/>
      <c r="U17" s="14"/>
      <c r="V17" s="13"/>
      <c r="W17" s="14"/>
      <c r="X17" s="14"/>
      <c r="Y17" s="14"/>
      <c r="Z17" s="14"/>
      <c r="AA17" s="14"/>
      <c r="AB17" s="14"/>
      <c r="AC17" s="14"/>
    </row>
    <row r="18" spans="1:30" x14ac:dyDescent="0.2">
      <c r="A18" s="15" t="s">
        <v>17</v>
      </c>
      <c r="B18" s="13"/>
      <c r="D18" s="14"/>
      <c r="E18" s="14"/>
      <c r="F18" s="14"/>
      <c r="G18" s="14"/>
      <c r="H18" s="14"/>
      <c r="I18" s="14"/>
      <c r="J18" s="14"/>
      <c r="K18" s="14"/>
      <c r="L18" s="14"/>
      <c r="M18" s="18">
        <f t="shared" ref="M18:M23" si="1">SUM(B18:L18)</f>
        <v>0</v>
      </c>
      <c r="N18" s="14"/>
      <c r="O18" s="17">
        <v>15000</v>
      </c>
      <c r="P18" s="14"/>
      <c r="Q18" s="14"/>
      <c r="R18" s="14"/>
      <c r="S18" s="14"/>
      <c r="T18" s="14"/>
      <c r="U18" s="14"/>
      <c r="V18" s="18">
        <f t="shared" ref="V18:V23" si="2">SUM(M18:U18)</f>
        <v>15000</v>
      </c>
      <c r="W18" s="14"/>
      <c r="X18" s="14"/>
      <c r="Y18" s="14"/>
      <c r="Z18" s="14"/>
      <c r="AA18" s="14"/>
      <c r="AB18" s="14"/>
      <c r="AC18" s="14"/>
    </row>
    <row r="19" spans="1:30" x14ac:dyDescent="0.2">
      <c r="A19" s="15" t="s">
        <v>18</v>
      </c>
      <c r="B19" s="13"/>
      <c r="D19" s="14"/>
      <c r="E19" s="14"/>
      <c r="F19" s="14"/>
      <c r="G19" s="14"/>
      <c r="H19" s="14"/>
      <c r="I19" s="17">
        <v>1000</v>
      </c>
      <c r="J19" s="14"/>
      <c r="K19" s="14"/>
      <c r="L19" s="14"/>
      <c r="M19" s="18">
        <f t="shared" si="1"/>
        <v>1000</v>
      </c>
      <c r="N19" s="17">
        <v>-1000</v>
      </c>
      <c r="O19" s="14"/>
      <c r="P19" s="14"/>
      <c r="Q19" s="14"/>
      <c r="R19" s="17">
        <v>1000</v>
      </c>
      <c r="S19" s="14"/>
      <c r="T19" s="14"/>
      <c r="U19" s="14"/>
      <c r="V19" s="18">
        <f t="shared" si="2"/>
        <v>1000</v>
      </c>
      <c r="W19" s="14"/>
      <c r="X19" s="14"/>
      <c r="Y19" s="14"/>
      <c r="Z19" s="14"/>
      <c r="AA19" s="14"/>
      <c r="AB19" s="14"/>
      <c r="AC19" s="14"/>
    </row>
    <row r="20" spans="1:30" x14ac:dyDescent="0.2">
      <c r="A20" s="15" t="s">
        <v>19</v>
      </c>
      <c r="B20" s="13"/>
      <c r="D20" s="14"/>
      <c r="E20" s="14"/>
      <c r="F20" s="14"/>
      <c r="G20" s="14"/>
      <c r="H20" s="14"/>
      <c r="I20" s="14"/>
      <c r="J20" s="14"/>
      <c r="K20" s="19">
        <f>0.3*M44</f>
        <v>15435</v>
      </c>
      <c r="L20" s="14"/>
      <c r="M20" s="18">
        <f t="shared" si="1"/>
        <v>15435</v>
      </c>
      <c r="N20" s="14"/>
      <c r="O20" s="14"/>
      <c r="P20" s="14"/>
      <c r="Q20" s="14"/>
      <c r="R20" s="14"/>
      <c r="S20" s="14"/>
      <c r="T20" s="14"/>
      <c r="U20" s="19">
        <f>-M20-U45</f>
        <v>-2460</v>
      </c>
      <c r="V20" s="18">
        <f t="shared" si="2"/>
        <v>12975</v>
      </c>
      <c r="W20" s="14"/>
      <c r="X20" s="14"/>
      <c r="Y20" s="14"/>
      <c r="Z20" s="14"/>
      <c r="AA20" s="14"/>
      <c r="AB20" s="14"/>
      <c r="AC20" s="14"/>
    </row>
    <row r="21" spans="1:30" x14ac:dyDescent="0.2">
      <c r="A21" s="15" t="s">
        <v>20</v>
      </c>
      <c r="B21" s="13"/>
      <c r="D21" s="14"/>
      <c r="E21" s="14"/>
      <c r="F21" s="14"/>
      <c r="G21" s="14"/>
      <c r="H21" s="17">
        <v>20000</v>
      </c>
      <c r="I21" s="14"/>
      <c r="J21" s="14"/>
      <c r="K21" s="14"/>
      <c r="L21" s="14"/>
      <c r="M21" s="18">
        <f t="shared" si="1"/>
        <v>20000</v>
      </c>
      <c r="N21" s="14"/>
      <c r="O21" s="14"/>
      <c r="P21" s="17">
        <v>-20000</v>
      </c>
      <c r="Q21" s="17">
        <v>250</v>
      </c>
      <c r="R21" s="14"/>
      <c r="S21" s="14"/>
      <c r="T21" s="14"/>
      <c r="U21" s="14"/>
      <c r="V21" s="18">
        <f t="shared" si="2"/>
        <v>250</v>
      </c>
      <c r="W21" s="14"/>
      <c r="X21" s="14"/>
      <c r="Y21" s="14"/>
      <c r="Z21" s="14"/>
      <c r="AA21" s="14"/>
      <c r="AB21" s="14"/>
      <c r="AC21" s="14"/>
    </row>
    <row r="22" spans="1:30" x14ac:dyDescent="0.2">
      <c r="A22" t="s">
        <v>21</v>
      </c>
      <c r="L22" s="24">
        <f>0.4*M46</f>
        <v>14406</v>
      </c>
      <c r="M22" s="24">
        <f t="shared" si="1"/>
        <v>14406</v>
      </c>
      <c r="N22" s="24">
        <f>-M22</f>
        <v>-14406</v>
      </c>
      <c r="V22" s="24">
        <f t="shared" si="2"/>
        <v>0</v>
      </c>
    </row>
    <row r="23" spans="1:30" x14ac:dyDescent="0.2">
      <c r="A23" t="s">
        <v>22</v>
      </c>
      <c r="J23" s="16">
        <v>500</v>
      </c>
      <c r="M23" s="24">
        <f t="shared" si="1"/>
        <v>500</v>
      </c>
      <c r="T23" s="16">
        <v>-500</v>
      </c>
      <c r="V23" s="24">
        <f t="shared" si="2"/>
        <v>0</v>
      </c>
    </row>
    <row r="24" spans="1:30" x14ac:dyDescent="0.2">
      <c r="A24" s="12" t="s">
        <v>23</v>
      </c>
      <c r="B24" s="13"/>
      <c r="D24" s="14"/>
      <c r="E24" s="14"/>
      <c r="F24" s="14"/>
      <c r="G24" s="14"/>
      <c r="H24" s="14"/>
      <c r="I24" s="14"/>
      <c r="J24" s="14"/>
      <c r="K24" s="14"/>
      <c r="L24" s="14"/>
      <c r="M24" s="13"/>
      <c r="N24" s="14"/>
      <c r="O24" s="14"/>
      <c r="P24" s="14"/>
      <c r="Q24" s="14"/>
      <c r="R24" s="14"/>
      <c r="S24" s="14"/>
      <c r="T24" s="14"/>
      <c r="U24" s="14"/>
      <c r="V24" s="13"/>
      <c r="W24" s="14"/>
      <c r="X24" s="14"/>
      <c r="Y24" s="14"/>
      <c r="Z24" s="14"/>
      <c r="AA24" s="14"/>
      <c r="AB24" s="14"/>
      <c r="AC24" s="14"/>
    </row>
    <row r="25" spans="1:30" x14ac:dyDescent="0.2">
      <c r="A25" s="15" t="s">
        <v>24</v>
      </c>
      <c r="B25" s="13"/>
      <c r="D25" s="17">
        <v>50000</v>
      </c>
      <c r="E25" s="14"/>
      <c r="F25" s="14"/>
      <c r="G25" s="14"/>
      <c r="H25" s="14"/>
      <c r="I25" s="14"/>
      <c r="J25" s="14"/>
      <c r="K25" s="14"/>
      <c r="L25" s="14"/>
      <c r="M25" s="18">
        <f>SUM(B25:L25)</f>
        <v>50000</v>
      </c>
      <c r="N25" s="14"/>
      <c r="O25" s="14"/>
      <c r="P25" s="14"/>
      <c r="Q25" s="14"/>
      <c r="R25" s="14"/>
      <c r="S25" s="14"/>
      <c r="T25" s="17">
        <v>-50000</v>
      </c>
      <c r="U25" s="14"/>
      <c r="V25" s="18">
        <f>SUM(M25:U25)</f>
        <v>0</v>
      </c>
      <c r="W25" s="14"/>
      <c r="X25" s="14"/>
      <c r="Y25" s="14"/>
      <c r="Z25" s="14"/>
      <c r="AA25" s="14"/>
      <c r="AB25" s="14"/>
      <c r="AC25" s="14"/>
    </row>
    <row r="26" spans="1:30" x14ac:dyDescent="0.2">
      <c r="A26" s="15" t="s">
        <v>25</v>
      </c>
      <c r="B26" s="13"/>
      <c r="D26" s="14"/>
      <c r="E26" s="14"/>
      <c r="F26" s="14"/>
      <c r="G26" s="14"/>
      <c r="H26" s="14"/>
      <c r="I26" s="14"/>
      <c r="J26" s="14"/>
      <c r="K26" s="14"/>
      <c r="L26" s="14"/>
      <c r="M26" s="18">
        <f>SUM(B26:L26)</f>
        <v>0</v>
      </c>
      <c r="N26" s="14"/>
      <c r="O26" s="14"/>
      <c r="P26" s="14"/>
      <c r="Q26" s="14"/>
      <c r="R26" s="14"/>
      <c r="S26" s="14"/>
      <c r="T26" s="14"/>
      <c r="U26" s="14"/>
      <c r="V26" s="18">
        <f>SUM(M26:U26)</f>
        <v>0</v>
      </c>
      <c r="W26" s="14"/>
      <c r="X26" s="14"/>
      <c r="Y26" s="14"/>
      <c r="Z26" s="14"/>
      <c r="AA26" s="14"/>
      <c r="AB26" s="14"/>
      <c r="AC26" s="14"/>
    </row>
    <row r="27" spans="1:30" x14ac:dyDescent="0.2">
      <c r="A27" s="12" t="s">
        <v>26</v>
      </c>
      <c r="B27" s="13"/>
      <c r="D27" s="14"/>
      <c r="E27" s="14"/>
      <c r="F27" s="14"/>
      <c r="G27" s="14"/>
      <c r="H27" s="14"/>
      <c r="I27" s="14"/>
      <c r="J27" s="14"/>
      <c r="K27" s="14"/>
      <c r="L27" s="14"/>
      <c r="M27" s="13"/>
      <c r="N27" s="14"/>
      <c r="O27" s="14"/>
      <c r="P27" s="14"/>
      <c r="Q27" s="14"/>
      <c r="R27" s="14"/>
      <c r="S27" s="14"/>
      <c r="T27" s="14"/>
      <c r="U27" s="14"/>
      <c r="V27" s="13"/>
      <c r="W27" s="14"/>
      <c r="X27" s="14"/>
      <c r="Y27" s="14"/>
      <c r="Z27" s="14"/>
      <c r="AA27" s="14"/>
      <c r="AB27" s="14"/>
      <c r="AC27" s="14"/>
    </row>
    <row r="28" spans="1:30" x14ac:dyDescent="0.2">
      <c r="A28" s="15" t="s">
        <v>27</v>
      </c>
      <c r="B28" s="13"/>
      <c r="C28" s="16">
        <v>80000</v>
      </c>
      <c r="D28" s="14"/>
      <c r="E28" s="14"/>
      <c r="F28" s="14"/>
      <c r="G28" s="14"/>
      <c r="H28" s="14"/>
      <c r="I28" s="14"/>
      <c r="J28" s="14"/>
      <c r="K28" s="14"/>
      <c r="L28" s="14"/>
      <c r="M28" s="18">
        <f>SUM(B28:L28)</f>
        <v>80000</v>
      </c>
      <c r="N28" s="14"/>
      <c r="O28" s="14"/>
      <c r="P28" s="14"/>
      <c r="Q28" s="14"/>
      <c r="R28" s="14"/>
      <c r="S28" s="14"/>
      <c r="T28" s="14"/>
      <c r="U28" s="14"/>
      <c r="V28" s="18">
        <f>SUM(M28:U28)</f>
        <v>80000</v>
      </c>
      <c r="W28" s="14"/>
      <c r="X28" s="14"/>
      <c r="Y28" s="14"/>
      <c r="Z28" s="14"/>
      <c r="AA28" s="14"/>
      <c r="AB28" s="14"/>
      <c r="AC28" s="14"/>
    </row>
    <row r="29" spans="1:30" x14ac:dyDescent="0.2">
      <c r="A29" s="15" t="s">
        <v>28</v>
      </c>
      <c r="B29" s="13"/>
      <c r="D29" s="14"/>
      <c r="E29" s="14"/>
      <c r="F29" s="14"/>
      <c r="G29" s="14"/>
      <c r="H29" s="17">
        <v>56000</v>
      </c>
      <c r="I29" s="17">
        <v>-2000</v>
      </c>
      <c r="J29" s="17">
        <v>-2550</v>
      </c>
      <c r="K29" s="19">
        <f>-0.3*M44</f>
        <v>-15435</v>
      </c>
      <c r="L29" s="19">
        <f>-0.4*M46</f>
        <v>-14406</v>
      </c>
      <c r="M29" s="18">
        <f>SUM(B29:L29)</f>
        <v>21609</v>
      </c>
      <c r="N29" s="14"/>
      <c r="O29" s="14"/>
      <c r="P29" s="17">
        <v>49000</v>
      </c>
      <c r="Q29" s="14"/>
      <c r="R29" s="17">
        <v>-2000</v>
      </c>
      <c r="S29" s="17">
        <v>-1200</v>
      </c>
      <c r="T29" s="17">
        <v>-500</v>
      </c>
      <c r="U29" s="19">
        <f>-1500-550+U45</f>
        <v>-15025</v>
      </c>
      <c r="V29" s="18">
        <f>SUM(M29:U29)</f>
        <v>51884</v>
      </c>
      <c r="W29" s="14"/>
      <c r="X29" s="14"/>
      <c r="Y29" s="14"/>
      <c r="Z29" s="14"/>
      <c r="AA29" s="14"/>
      <c r="AB29" s="14"/>
      <c r="AC29" s="14"/>
    </row>
    <row r="30" spans="1:30" s="25" customFormat="1" x14ac:dyDescent="0.2">
      <c r="A30" s="20" t="s">
        <v>29</v>
      </c>
      <c r="B30" s="21">
        <f t="shared" ref="B30:V30" si="3">SUM(B18:B29)</f>
        <v>0</v>
      </c>
      <c r="C30" s="22">
        <f t="shared" si="3"/>
        <v>80000</v>
      </c>
      <c r="D30" s="21">
        <f t="shared" si="3"/>
        <v>50000</v>
      </c>
      <c r="E30" s="21">
        <f t="shared" si="3"/>
        <v>0</v>
      </c>
      <c r="F30" s="21">
        <f t="shared" si="3"/>
        <v>0</v>
      </c>
      <c r="G30" s="21">
        <f t="shared" si="3"/>
        <v>0</v>
      </c>
      <c r="H30" s="21">
        <f t="shared" si="3"/>
        <v>76000</v>
      </c>
      <c r="I30" s="21">
        <f t="shared" si="3"/>
        <v>-1000</v>
      </c>
      <c r="J30" s="21">
        <f t="shared" si="3"/>
        <v>-2050</v>
      </c>
      <c r="K30" s="21">
        <f t="shared" si="3"/>
        <v>0</v>
      </c>
      <c r="L30" s="21">
        <f t="shared" si="3"/>
        <v>0</v>
      </c>
      <c r="M30" s="21">
        <f t="shared" si="3"/>
        <v>202950</v>
      </c>
      <c r="N30" s="21">
        <f t="shared" si="3"/>
        <v>-15406</v>
      </c>
      <c r="O30" s="21">
        <f t="shared" si="3"/>
        <v>15000</v>
      </c>
      <c r="P30" s="21">
        <f t="shared" si="3"/>
        <v>29000</v>
      </c>
      <c r="Q30" s="21">
        <f t="shared" si="3"/>
        <v>250</v>
      </c>
      <c r="R30" s="21">
        <f t="shared" si="3"/>
        <v>-1000</v>
      </c>
      <c r="S30" s="21">
        <f t="shared" si="3"/>
        <v>-1200</v>
      </c>
      <c r="T30" s="21">
        <f t="shared" si="3"/>
        <v>-51000</v>
      </c>
      <c r="U30" s="21">
        <f t="shared" si="3"/>
        <v>-17485</v>
      </c>
      <c r="V30" s="21">
        <f t="shared" si="3"/>
        <v>161109</v>
      </c>
      <c r="W30" s="14"/>
      <c r="X30" s="14"/>
      <c r="Y30" s="14"/>
      <c r="Z30" s="14"/>
      <c r="AA30" s="14"/>
      <c r="AB30" s="14"/>
      <c r="AC30" s="14"/>
    </row>
    <row r="31" spans="1:30" x14ac:dyDescent="0.2">
      <c r="B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</row>
    <row r="32" spans="1:30" x14ac:dyDescent="0.2">
      <c r="A32" s="26" t="s">
        <v>30</v>
      </c>
      <c r="B32" s="27">
        <f t="shared" ref="B32:V32" si="4">B15-B30</f>
        <v>0</v>
      </c>
      <c r="C32" s="22">
        <f t="shared" si="4"/>
        <v>0</v>
      </c>
      <c r="D32" s="27">
        <f t="shared" si="4"/>
        <v>0</v>
      </c>
      <c r="E32" s="27">
        <f t="shared" si="4"/>
        <v>0</v>
      </c>
      <c r="F32" s="27">
        <f t="shared" si="4"/>
        <v>0</v>
      </c>
      <c r="G32" s="27">
        <f t="shared" si="4"/>
        <v>0</v>
      </c>
      <c r="H32" s="27">
        <f t="shared" si="4"/>
        <v>0</v>
      </c>
      <c r="I32" s="27">
        <f t="shared" si="4"/>
        <v>0</v>
      </c>
      <c r="J32" s="27">
        <f t="shared" si="4"/>
        <v>0</v>
      </c>
      <c r="K32" s="27">
        <f t="shared" si="4"/>
        <v>0</v>
      </c>
      <c r="L32" s="27">
        <f t="shared" si="4"/>
        <v>0</v>
      </c>
      <c r="M32" s="27">
        <f t="shared" si="4"/>
        <v>0</v>
      </c>
      <c r="N32" s="27">
        <f t="shared" si="4"/>
        <v>0</v>
      </c>
      <c r="O32" s="27">
        <f t="shared" si="4"/>
        <v>0</v>
      </c>
      <c r="P32" s="27">
        <f t="shared" si="4"/>
        <v>0</v>
      </c>
      <c r="Q32" s="27">
        <f t="shared" si="4"/>
        <v>0</v>
      </c>
      <c r="R32" s="27">
        <f t="shared" si="4"/>
        <v>0</v>
      </c>
      <c r="S32" s="27">
        <f t="shared" si="4"/>
        <v>0</v>
      </c>
      <c r="T32" s="27">
        <f t="shared" si="4"/>
        <v>0</v>
      </c>
      <c r="U32" s="27">
        <f t="shared" si="4"/>
        <v>0</v>
      </c>
      <c r="V32" s="27">
        <f t="shared" si="4"/>
        <v>0</v>
      </c>
      <c r="W32" s="28"/>
      <c r="X32" s="28"/>
      <c r="Y32" s="28"/>
      <c r="Z32" s="28"/>
      <c r="AA32" s="28"/>
      <c r="AB32" s="28"/>
      <c r="AC32" s="28"/>
      <c r="AD32" s="29"/>
    </row>
    <row r="33" spans="1:29" x14ac:dyDescent="0.2">
      <c r="B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</row>
    <row r="34" spans="1:29" x14ac:dyDescent="0.2">
      <c r="A34" s="30" t="s">
        <v>31</v>
      </c>
      <c r="B34" s="31"/>
      <c r="D34" s="31"/>
      <c r="E34" s="31"/>
      <c r="F34" s="31"/>
      <c r="G34" s="31"/>
      <c r="H34" s="31"/>
      <c r="I34" s="31"/>
      <c r="J34" s="31"/>
      <c r="K34" s="31"/>
      <c r="L34" s="31"/>
      <c r="M34" s="32" t="s">
        <v>32</v>
      </c>
      <c r="N34" s="31"/>
      <c r="O34" s="31"/>
      <c r="P34" s="31"/>
      <c r="Q34" s="31"/>
      <c r="R34" s="31"/>
      <c r="S34" s="31"/>
      <c r="T34" s="31"/>
      <c r="U34" s="31"/>
      <c r="V34" s="32" t="s">
        <v>33</v>
      </c>
      <c r="W34" s="14"/>
      <c r="X34" s="14"/>
      <c r="Y34" s="14"/>
      <c r="Z34" s="14"/>
      <c r="AA34" s="14"/>
      <c r="AB34" s="14"/>
      <c r="AC34" s="14"/>
    </row>
    <row r="35" spans="1:29" x14ac:dyDescent="0.2">
      <c r="A35" s="33" t="s">
        <v>34</v>
      </c>
      <c r="B35" s="14"/>
      <c r="D35" s="14"/>
      <c r="E35" s="14"/>
      <c r="F35" s="14"/>
      <c r="G35" s="14"/>
      <c r="H35" s="17">
        <v>152000</v>
      </c>
      <c r="I35" s="14"/>
      <c r="J35" s="14"/>
      <c r="K35" s="14"/>
      <c r="L35" s="14"/>
      <c r="M35" s="34">
        <f>SUM(C35:L35)</f>
        <v>152000</v>
      </c>
      <c r="N35" s="14"/>
      <c r="O35" s="14"/>
      <c r="P35" s="17">
        <v>200000</v>
      </c>
      <c r="Q35" s="14"/>
      <c r="R35" s="14"/>
      <c r="S35" s="14"/>
      <c r="T35" s="14"/>
      <c r="U35" s="14"/>
      <c r="V35" s="34">
        <f>SUM(N35:U35)</f>
        <v>200000</v>
      </c>
      <c r="W35" s="14"/>
      <c r="X35" s="14"/>
      <c r="Y35" s="14"/>
      <c r="Z35" s="14"/>
      <c r="AA35" s="14"/>
      <c r="AB35" s="14"/>
      <c r="AC35" s="14"/>
    </row>
    <row r="36" spans="1:29" x14ac:dyDescent="0.2">
      <c r="A36" s="33" t="s">
        <v>35</v>
      </c>
      <c r="B36" s="14"/>
      <c r="D36" s="14"/>
      <c r="E36" s="14"/>
      <c r="F36" s="14"/>
      <c r="G36" s="14"/>
      <c r="H36" s="17">
        <v>-96000</v>
      </c>
      <c r="I36" s="14"/>
      <c r="J36" s="14"/>
      <c r="K36" s="14"/>
      <c r="L36" s="14"/>
      <c r="M36" s="34">
        <f>SUM(C36:L36)</f>
        <v>-96000</v>
      </c>
      <c r="N36" s="14"/>
      <c r="O36" s="14"/>
      <c r="P36" s="17">
        <v>-151000</v>
      </c>
      <c r="Q36" s="14"/>
      <c r="R36" s="14"/>
      <c r="S36" s="14"/>
      <c r="T36" s="14"/>
      <c r="U36" s="14"/>
      <c r="V36" s="34">
        <f>SUM(N36:U36)</f>
        <v>-151000</v>
      </c>
      <c r="W36" s="14"/>
      <c r="X36" s="14"/>
      <c r="Y36" s="14"/>
      <c r="Z36" s="14"/>
      <c r="AA36" s="14"/>
      <c r="AB36" s="14"/>
      <c r="AC36" s="14"/>
    </row>
    <row r="37" spans="1:29" x14ac:dyDescent="0.2">
      <c r="A37" s="35" t="s">
        <v>36</v>
      </c>
      <c r="B37" s="36">
        <f t="shared" ref="B37:V37" si="5">B35+B36</f>
        <v>0</v>
      </c>
      <c r="C37" s="22">
        <f t="shared" si="5"/>
        <v>0</v>
      </c>
      <c r="D37" s="36">
        <f t="shared" si="5"/>
        <v>0</v>
      </c>
      <c r="E37" s="36">
        <f t="shared" si="5"/>
        <v>0</v>
      </c>
      <c r="F37" s="36">
        <f t="shared" si="5"/>
        <v>0</v>
      </c>
      <c r="G37" s="36">
        <f t="shared" si="5"/>
        <v>0</v>
      </c>
      <c r="H37" s="36">
        <f t="shared" si="5"/>
        <v>56000</v>
      </c>
      <c r="I37" s="36">
        <f t="shared" si="5"/>
        <v>0</v>
      </c>
      <c r="J37" s="36">
        <f t="shared" si="5"/>
        <v>0</v>
      </c>
      <c r="K37" s="36">
        <f t="shared" si="5"/>
        <v>0</v>
      </c>
      <c r="L37" s="36">
        <f t="shared" si="5"/>
        <v>0</v>
      </c>
      <c r="M37" s="37">
        <f t="shared" si="5"/>
        <v>56000</v>
      </c>
      <c r="N37" s="36">
        <f t="shared" si="5"/>
        <v>0</v>
      </c>
      <c r="O37" s="36">
        <f t="shared" si="5"/>
        <v>0</v>
      </c>
      <c r="P37" s="36">
        <f t="shared" si="5"/>
        <v>49000</v>
      </c>
      <c r="Q37" s="36">
        <f t="shared" si="5"/>
        <v>0</v>
      </c>
      <c r="R37" s="36">
        <f t="shared" si="5"/>
        <v>0</v>
      </c>
      <c r="S37" s="36">
        <f t="shared" si="5"/>
        <v>0</v>
      </c>
      <c r="T37" s="36">
        <f t="shared" si="5"/>
        <v>0</v>
      </c>
      <c r="U37" s="36">
        <f t="shared" si="5"/>
        <v>0</v>
      </c>
      <c r="V37" s="37">
        <f t="shared" si="5"/>
        <v>49000</v>
      </c>
      <c r="W37" s="14"/>
      <c r="X37" s="14"/>
      <c r="Y37" s="14"/>
      <c r="Z37" s="14"/>
      <c r="AA37" s="14"/>
      <c r="AB37" s="14"/>
      <c r="AC37" s="14"/>
    </row>
    <row r="38" spans="1:29" x14ac:dyDescent="0.2">
      <c r="A38" s="38" t="s">
        <v>37</v>
      </c>
      <c r="B38" s="14"/>
      <c r="D38" s="14"/>
      <c r="E38" s="14"/>
      <c r="F38" s="14"/>
      <c r="G38" s="14"/>
      <c r="H38" s="14"/>
      <c r="I38" s="14"/>
      <c r="J38" s="14"/>
      <c r="K38" s="14"/>
      <c r="L38" s="14"/>
      <c r="M38" s="39"/>
      <c r="N38" s="14"/>
      <c r="O38" s="14"/>
      <c r="P38" s="14"/>
      <c r="Q38" s="14"/>
      <c r="R38" s="14"/>
      <c r="S38" s="14"/>
      <c r="T38" s="14"/>
      <c r="U38" s="14"/>
      <c r="V38" s="39"/>
      <c r="W38" s="14"/>
      <c r="X38" s="14"/>
      <c r="Y38" s="14"/>
      <c r="Z38" s="14"/>
      <c r="AA38" s="14"/>
      <c r="AB38" s="14"/>
      <c r="AC38" s="14"/>
    </row>
    <row r="39" spans="1:29" x14ac:dyDescent="0.2">
      <c r="A39" s="33" t="s">
        <v>38</v>
      </c>
      <c r="B39" s="14"/>
      <c r="D39" s="14"/>
      <c r="E39" s="14"/>
      <c r="F39" s="14"/>
      <c r="G39" s="14"/>
      <c r="H39" s="14"/>
      <c r="I39" s="14"/>
      <c r="J39" s="14"/>
      <c r="K39" s="14"/>
      <c r="L39" s="14"/>
      <c r="M39" s="34">
        <f>SUM(C39:L39)</f>
        <v>0</v>
      </c>
      <c r="N39" s="14"/>
      <c r="O39" s="14"/>
      <c r="P39" s="14"/>
      <c r="Q39" s="14"/>
      <c r="R39" s="14"/>
      <c r="S39" s="17">
        <v>-1200</v>
      </c>
      <c r="T39" s="14"/>
      <c r="U39" s="14"/>
      <c r="V39" s="34">
        <f>SUM(N39:U39)</f>
        <v>-1200</v>
      </c>
      <c r="W39" s="14"/>
      <c r="X39" s="14"/>
      <c r="Y39" s="14"/>
      <c r="Z39" s="14"/>
      <c r="AA39" s="14"/>
      <c r="AB39" s="14"/>
      <c r="AC39" s="14"/>
    </row>
    <row r="40" spans="1:29" x14ac:dyDescent="0.2">
      <c r="A40" s="33" t="s">
        <v>39</v>
      </c>
      <c r="B40" s="14"/>
      <c r="D40" s="14"/>
      <c r="E40" s="14"/>
      <c r="F40" s="14"/>
      <c r="G40" s="14"/>
      <c r="H40" s="14"/>
      <c r="I40" s="17">
        <v>-2000</v>
      </c>
      <c r="J40" s="17">
        <v>-2050</v>
      </c>
      <c r="K40" s="14"/>
      <c r="L40" s="14"/>
      <c r="M40" s="34">
        <f>SUM(C40:L40)</f>
        <v>-4050</v>
      </c>
      <c r="N40" s="14"/>
      <c r="O40" s="14"/>
      <c r="P40" s="14"/>
      <c r="Q40" s="14"/>
      <c r="R40" s="17">
        <v>-2000</v>
      </c>
      <c r="S40" s="14"/>
      <c r="T40" s="14"/>
      <c r="U40" s="17">
        <v>-2050</v>
      </c>
      <c r="V40" s="34">
        <f>SUM(N40:U40)</f>
        <v>-4050</v>
      </c>
      <c r="W40" s="14"/>
      <c r="X40" s="14"/>
      <c r="Y40" s="14"/>
      <c r="Z40" s="14"/>
      <c r="AA40" s="14"/>
      <c r="AB40" s="14"/>
      <c r="AC40" s="14"/>
    </row>
    <row r="41" spans="1:29" x14ac:dyDescent="0.2">
      <c r="A41" s="33" t="s">
        <v>40</v>
      </c>
      <c r="B41" s="14"/>
      <c r="D41" s="14"/>
      <c r="E41" s="14"/>
      <c r="F41" s="14"/>
      <c r="G41" s="14"/>
      <c r="H41" s="14"/>
      <c r="I41" s="14"/>
      <c r="J41" s="14"/>
      <c r="K41" s="14"/>
      <c r="L41" s="14"/>
      <c r="M41" s="34">
        <f>SUM(C41:L41)</f>
        <v>0</v>
      </c>
      <c r="N41" s="14"/>
      <c r="O41" s="14"/>
      <c r="P41" s="14"/>
      <c r="Q41" s="14"/>
      <c r="R41" s="14"/>
      <c r="S41" s="14"/>
      <c r="T41" s="14"/>
      <c r="U41" s="14"/>
      <c r="V41" s="34">
        <f>SUM(N41:U41)</f>
        <v>0</v>
      </c>
      <c r="W41" s="14"/>
      <c r="X41" s="14"/>
      <c r="Y41" s="14"/>
      <c r="Z41" s="14"/>
      <c r="AA41" s="14"/>
      <c r="AB41" s="14"/>
      <c r="AC41" s="14"/>
    </row>
    <row r="42" spans="1:29" x14ac:dyDescent="0.2">
      <c r="A42" s="35" t="s">
        <v>41</v>
      </c>
      <c r="B42" s="36">
        <f t="shared" ref="B42:V42" si="6">B37+SUM(B39:B41)</f>
        <v>0</v>
      </c>
      <c r="C42" s="22">
        <f t="shared" si="6"/>
        <v>0</v>
      </c>
      <c r="D42" s="36">
        <f t="shared" si="6"/>
        <v>0</v>
      </c>
      <c r="E42" s="36">
        <f t="shared" si="6"/>
        <v>0</v>
      </c>
      <c r="F42" s="36">
        <f t="shared" si="6"/>
        <v>0</v>
      </c>
      <c r="G42" s="36">
        <f t="shared" si="6"/>
        <v>0</v>
      </c>
      <c r="H42" s="36">
        <f t="shared" si="6"/>
        <v>56000</v>
      </c>
      <c r="I42" s="36">
        <f t="shared" si="6"/>
        <v>-2000</v>
      </c>
      <c r="J42" s="36">
        <f t="shared" si="6"/>
        <v>-2050</v>
      </c>
      <c r="K42" s="36">
        <f t="shared" si="6"/>
        <v>0</v>
      </c>
      <c r="L42" s="36">
        <f t="shared" si="6"/>
        <v>0</v>
      </c>
      <c r="M42" s="37">
        <f t="shared" si="6"/>
        <v>51950</v>
      </c>
      <c r="N42" s="36">
        <f t="shared" si="6"/>
        <v>0</v>
      </c>
      <c r="O42" s="36">
        <f t="shared" si="6"/>
        <v>0</v>
      </c>
      <c r="P42" s="36">
        <f t="shared" si="6"/>
        <v>49000</v>
      </c>
      <c r="Q42" s="36">
        <f t="shared" si="6"/>
        <v>0</v>
      </c>
      <c r="R42" s="36">
        <f t="shared" si="6"/>
        <v>-2000</v>
      </c>
      <c r="S42" s="36">
        <f t="shared" si="6"/>
        <v>-1200</v>
      </c>
      <c r="T42" s="36">
        <f t="shared" si="6"/>
        <v>0</v>
      </c>
      <c r="U42" s="36">
        <f t="shared" si="6"/>
        <v>-2050</v>
      </c>
      <c r="V42" s="37">
        <f t="shared" si="6"/>
        <v>43750</v>
      </c>
      <c r="W42" s="14"/>
      <c r="X42" s="14"/>
      <c r="Y42" s="14"/>
      <c r="Z42" s="14"/>
      <c r="AA42" s="14"/>
      <c r="AB42" s="14"/>
      <c r="AC42" s="14"/>
    </row>
    <row r="43" spans="1:29" x14ac:dyDescent="0.2">
      <c r="A43" s="33" t="s">
        <v>42</v>
      </c>
      <c r="B43" s="14"/>
      <c r="D43" s="14"/>
      <c r="E43" s="14"/>
      <c r="F43" s="14"/>
      <c r="G43" s="14"/>
      <c r="H43" s="14"/>
      <c r="I43" s="14"/>
      <c r="J43" s="17">
        <v>-500</v>
      </c>
      <c r="K43" s="14"/>
      <c r="L43" s="14"/>
      <c r="M43" s="34">
        <f>SUM(C43:L43)</f>
        <v>-500</v>
      </c>
      <c r="N43" s="14"/>
      <c r="O43" s="14"/>
      <c r="P43" s="14"/>
      <c r="Q43" s="14"/>
      <c r="R43" s="14"/>
      <c r="S43" s="14"/>
      <c r="T43" s="17">
        <v>-500</v>
      </c>
      <c r="U43" s="14"/>
      <c r="V43" s="34">
        <f>SUM(N43:U43)</f>
        <v>-500</v>
      </c>
      <c r="W43" s="14"/>
      <c r="X43" s="14"/>
      <c r="Y43" s="14"/>
      <c r="Z43" s="14"/>
      <c r="AA43" s="14"/>
      <c r="AB43" s="14"/>
      <c r="AC43" s="14"/>
    </row>
    <row r="44" spans="1:29" x14ac:dyDescent="0.2">
      <c r="A44" s="35" t="s">
        <v>43</v>
      </c>
      <c r="B44" s="36">
        <f t="shared" ref="B44:V44" si="7">B42+B43</f>
        <v>0</v>
      </c>
      <c r="C44" s="22">
        <f t="shared" si="7"/>
        <v>0</v>
      </c>
      <c r="D44" s="36">
        <f t="shared" si="7"/>
        <v>0</v>
      </c>
      <c r="E44" s="36">
        <f t="shared" si="7"/>
        <v>0</v>
      </c>
      <c r="F44" s="36">
        <f t="shared" si="7"/>
        <v>0</v>
      </c>
      <c r="G44" s="36">
        <f t="shared" si="7"/>
        <v>0</v>
      </c>
      <c r="H44" s="36">
        <f t="shared" si="7"/>
        <v>56000</v>
      </c>
      <c r="I44" s="36">
        <f t="shared" si="7"/>
        <v>-2000</v>
      </c>
      <c r="J44" s="36">
        <f t="shared" si="7"/>
        <v>-2550</v>
      </c>
      <c r="K44" s="36">
        <f t="shared" si="7"/>
        <v>0</v>
      </c>
      <c r="L44" s="36">
        <f t="shared" si="7"/>
        <v>0</v>
      </c>
      <c r="M44" s="37">
        <f t="shared" si="7"/>
        <v>51450</v>
      </c>
      <c r="N44" s="36">
        <f t="shared" si="7"/>
        <v>0</v>
      </c>
      <c r="O44" s="36">
        <f t="shared" si="7"/>
        <v>0</v>
      </c>
      <c r="P44" s="36">
        <f t="shared" si="7"/>
        <v>49000</v>
      </c>
      <c r="Q44" s="36">
        <f t="shared" si="7"/>
        <v>0</v>
      </c>
      <c r="R44" s="36">
        <f t="shared" si="7"/>
        <v>-2000</v>
      </c>
      <c r="S44" s="36">
        <f t="shared" si="7"/>
        <v>-1200</v>
      </c>
      <c r="T44" s="36">
        <f t="shared" si="7"/>
        <v>-500</v>
      </c>
      <c r="U44" s="36">
        <f t="shared" si="7"/>
        <v>-2050</v>
      </c>
      <c r="V44" s="37">
        <f t="shared" si="7"/>
        <v>43250</v>
      </c>
      <c r="W44" s="14"/>
      <c r="X44" s="14"/>
      <c r="Y44" s="14"/>
      <c r="Z44" s="14"/>
      <c r="AA44" s="14"/>
      <c r="AB44" s="14"/>
      <c r="AC44" s="14"/>
    </row>
    <row r="45" spans="1:29" x14ac:dyDescent="0.2">
      <c r="A45" s="33" t="s">
        <v>44</v>
      </c>
      <c r="B45" s="14"/>
      <c r="D45" s="14"/>
      <c r="E45" s="14"/>
      <c r="F45" s="14"/>
      <c r="G45" s="14"/>
      <c r="H45" s="14"/>
      <c r="I45" s="14"/>
      <c r="J45" s="14"/>
      <c r="K45" s="19">
        <f>-0.3*M44</f>
        <v>-15435</v>
      </c>
      <c r="L45" s="14"/>
      <c r="M45" s="34">
        <f>SUM(C45:L45)</f>
        <v>-15435</v>
      </c>
      <c r="N45" s="14"/>
      <c r="O45" s="14"/>
      <c r="P45" s="14"/>
      <c r="Q45" s="14"/>
      <c r="R45" s="14"/>
      <c r="S45" s="14"/>
      <c r="T45" s="14"/>
      <c r="U45" s="19">
        <f>-0.3*V44</f>
        <v>-12975</v>
      </c>
      <c r="V45" s="34">
        <f>SUM(N45:U45)</f>
        <v>-12975</v>
      </c>
      <c r="W45" s="14"/>
      <c r="X45" s="14"/>
      <c r="Y45" s="14"/>
      <c r="Z45" s="14"/>
      <c r="AA45" s="14"/>
      <c r="AB45" s="14"/>
      <c r="AC45" s="14"/>
    </row>
    <row r="46" spans="1:29" x14ac:dyDescent="0.2">
      <c r="A46" s="20" t="s">
        <v>45</v>
      </c>
      <c r="B46" s="21">
        <f t="shared" ref="B46:V46" si="8">B44+B45</f>
        <v>0</v>
      </c>
      <c r="C46" s="22">
        <f t="shared" si="8"/>
        <v>0</v>
      </c>
      <c r="D46" s="21">
        <f t="shared" si="8"/>
        <v>0</v>
      </c>
      <c r="E46" s="21">
        <f t="shared" si="8"/>
        <v>0</v>
      </c>
      <c r="F46" s="21">
        <f t="shared" si="8"/>
        <v>0</v>
      </c>
      <c r="G46" s="21">
        <f t="shared" si="8"/>
        <v>0</v>
      </c>
      <c r="H46" s="21">
        <f t="shared" si="8"/>
        <v>56000</v>
      </c>
      <c r="I46" s="21">
        <f t="shared" si="8"/>
        <v>-2000</v>
      </c>
      <c r="J46" s="21">
        <f t="shared" si="8"/>
        <v>-2550</v>
      </c>
      <c r="K46" s="21">
        <f t="shared" si="8"/>
        <v>-15435</v>
      </c>
      <c r="L46" s="21">
        <f t="shared" si="8"/>
        <v>0</v>
      </c>
      <c r="M46" s="21">
        <f t="shared" si="8"/>
        <v>36015</v>
      </c>
      <c r="N46" s="21">
        <f t="shared" si="8"/>
        <v>0</v>
      </c>
      <c r="O46" s="21">
        <f t="shared" si="8"/>
        <v>0</v>
      </c>
      <c r="P46" s="21">
        <f t="shared" si="8"/>
        <v>49000</v>
      </c>
      <c r="Q46" s="21">
        <f t="shared" si="8"/>
        <v>0</v>
      </c>
      <c r="R46" s="21">
        <f t="shared" si="8"/>
        <v>-2000</v>
      </c>
      <c r="S46" s="21">
        <f t="shared" si="8"/>
        <v>-1200</v>
      </c>
      <c r="T46" s="21">
        <f t="shared" si="8"/>
        <v>-500</v>
      </c>
      <c r="U46" s="21">
        <f t="shared" si="8"/>
        <v>-15025</v>
      </c>
      <c r="V46" s="21">
        <f t="shared" si="8"/>
        <v>30275</v>
      </c>
      <c r="W46" s="14"/>
      <c r="X46" s="14"/>
      <c r="Y46" s="14"/>
      <c r="Z46" s="14"/>
      <c r="AA46" s="14"/>
      <c r="AB46" s="14"/>
      <c r="AC46" s="14"/>
    </row>
    <row r="49" spans="1:22" x14ac:dyDescent="0.2">
      <c r="A49" s="30" t="s">
        <v>46</v>
      </c>
      <c r="B49" s="40"/>
      <c r="D49" s="40"/>
      <c r="E49" s="40"/>
      <c r="F49" s="40"/>
      <c r="G49" s="40"/>
      <c r="H49" s="40"/>
      <c r="I49" s="40"/>
      <c r="J49" s="40"/>
      <c r="K49" s="40"/>
      <c r="L49" s="41"/>
      <c r="M49" s="32" t="s">
        <v>32</v>
      </c>
      <c r="N49" s="31"/>
      <c r="O49" s="31"/>
      <c r="P49" s="31"/>
      <c r="Q49" s="31"/>
      <c r="R49" s="31"/>
      <c r="S49" s="31"/>
      <c r="T49" s="31"/>
      <c r="U49" s="31"/>
      <c r="V49" s="32" t="s">
        <v>33</v>
      </c>
    </row>
    <row r="50" spans="1:22" x14ac:dyDescent="0.2">
      <c r="A50" s="42" t="s">
        <v>47</v>
      </c>
      <c r="B50" s="14"/>
      <c r="D50" s="14"/>
      <c r="E50" s="14"/>
      <c r="F50" s="14"/>
      <c r="G50" s="14"/>
      <c r="H50" s="14"/>
      <c r="I50" s="14"/>
      <c r="J50" s="14"/>
      <c r="K50" s="14"/>
      <c r="L50" s="14"/>
      <c r="M50" s="43"/>
      <c r="N50" s="14"/>
      <c r="O50" s="14"/>
      <c r="P50" s="14"/>
      <c r="Q50" s="14"/>
      <c r="R50" s="14"/>
      <c r="S50" s="14"/>
      <c r="T50" s="14"/>
      <c r="U50" s="14"/>
      <c r="V50" s="43"/>
    </row>
    <row r="51" spans="1:22" x14ac:dyDescent="0.2">
      <c r="A51" s="33" t="s">
        <v>48</v>
      </c>
      <c r="B51" s="14"/>
      <c r="D51" s="14"/>
      <c r="E51" s="14"/>
      <c r="F51" s="14"/>
      <c r="G51" s="14"/>
      <c r="H51" s="17">
        <v>122000</v>
      </c>
      <c r="I51" s="14"/>
      <c r="J51" s="14"/>
      <c r="K51" s="14"/>
      <c r="L51" s="14"/>
      <c r="M51" s="44">
        <f>SUM(C51:L51)</f>
        <v>122000</v>
      </c>
      <c r="N51" s="17">
        <v>50000</v>
      </c>
      <c r="O51" s="14"/>
      <c r="P51" s="17">
        <v>156000</v>
      </c>
      <c r="Q51" s="17">
        <v>250</v>
      </c>
      <c r="R51" s="14"/>
      <c r="S51" s="14"/>
      <c r="T51" s="14"/>
      <c r="U51" s="14"/>
      <c r="V51" s="44">
        <f>SUM(N51:U51)</f>
        <v>206250</v>
      </c>
    </row>
    <row r="52" spans="1:22" x14ac:dyDescent="0.2">
      <c r="A52" s="35" t="s">
        <v>49</v>
      </c>
      <c r="B52" s="14"/>
      <c r="D52" s="14"/>
      <c r="E52" s="14"/>
      <c r="F52" s="17">
        <v>-100000</v>
      </c>
      <c r="G52" s="14"/>
      <c r="H52" s="14"/>
      <c r="I52" s="14"/>
      <c r="J52" s="14"/>
      <c r="K52" s="14"/>
      <c r="L52" s="14"/>
      <c r="M52" s="44">
        <f>SUM(C52:L52)</f>
        <v>-100000</v>
      </c>
      <c r="N52" s="14"/>
      <c r="O52" s="17">
        <v>-155000</v>
      </c>
      <c r="P52" s="14"/>
      <c r="Q52" s="14"/>
      <c r="R52" s="14"/>
      <c r="S52" s="14"/>
      <c r="T52" s="14"/>
      <c r="U52" s="14"/>
      <c r="V52" s="44">
        <f>SUM(N52:U52)</f>
        <v>-155000</v>
      </c>
    </row>
    <row r="53" spans="1:22" x14ac:dyDescent="0.2">
      <c r="A53" s="38" t="s">
        <v>50</v>
      </c>
      <c r="B53" s="14"/>
      <c r="D53" s="14"/>
      <c r="E53" s="17">
        <v>-9000</v>
      </c>
      <c r="F53" s="14"/>
      <c r="G53" s="17">
        <v>-1200</v>
      </c>
      <c r="H53" s="14"/>
      <c r="I53" s="17">
        <v>-1000</v>
      </c>
      <c r="J53" s="14"/>
      <c r="K53" s="14"/>
      <c r="L53" s="14"/>
      <c r="M53" s="44">
        <f>SUM(C53:L53)</f>
        <v>-11200</v>
      </c>
      <c r="N53" s="17">
        <v>-1000</v>
      </c>
      <c r="O53" s="14"/>
      <c r="P53" s="14"/>
      <c r="Q53" s="14"/>
      <c r="R53" s="17">
        <v>-1000</v>
      </c>
      <c r="S53" s="14"/>
      <c r="T53" s="14"/>
      <c r="U53" s="14"/>
      <c r="V53" s="44">
        <f>SUM(N53:U53)</f>
        <v>-2000</v>
      </c>
    </row>
    <row r="54" spans="1:22" x14ac:dyDescent="0.2">
      <c r="A54" s="33" t="s">
        <v>51</v>
      </c>
      <c r="B54" s="14"/>
      <c r="D54" s="14"/>
      <c r="E54" s="14"/>
      <c r="F54" s="14"/>
      <c r="G54" s="14"/>
      <c r="H54" s="14"/>
      <c r="I54" s="14"/>
      <c r="J54" s="14"/>
      <c r="K54" s="14"/>
      <c r="L54" s="14"/>
      <c r="M54" s="44">
        <f>SUM(C54:L54)</f>
        <v>0</v>
      </c>
      <c r="N54" s="14"/>
      <c r="O54" s="14"/>
      <c r="P54" s="14"/>
      <c r="Q54" s="14"/>
      <c r="R54" s="14"/>
      <c r="S54" s="14"/>
      <c r="T54" s="17">
        <v>-1000</v>
      </c>
      <c r="U54" s="19">
        <f>-M20</f>
        <v>-15435</v>
      </c>
      <c r="V54" s="44">
        <f>SUM(N54:U54)</f>
        <v>-16435</v>
      </c>
    </row>
    <row r="55" spans="1:22" x14ac:dyDescent="0.2">
      <c r="A55" s="42" t="s">
        <v>52</v>
      </c>
      <c r="B55" s="45"/>
      <c r="D55" s="45"/>
      <c r="E55" s="45"/>
      <c r="F55" s="45"/>
      <c r="G55" s="45"/>
      <c r="H55" s="45"/>
      <c r="I55" s="45"/>
      <c r="J55" s="45"/>
      <c r="K55" s="45"/>
      <c r="L55" s="45"/>
      <c r="M55" s="46"/>
      <c r="N55" s="45"/>
      <c r="O55" s="45"/>
      <c r="P55" s="45"/>
      <c r="Q55" s="45"/>
      <c r="R55" s="45"/>
      <c r="S55" s="45"/>
      <c r="T55" s="45"/>
      <c r="U55" s="45"/>
      <c r="V55" s="46"/>
    </row>
    <row r="56" spans="1:22" x14ac:dyDescent="0.2">
      <c r="A56" s="33" t="s">
        <v>53</v>
      </c>
      <c r="B56" s="14"/>
      <c r="D56" s="14"/>
      <c r="E56" s="17">
        <v>-13200</v>
      </c>
      <c r="F56" s="14"/>
      <c r="G56" s="14"/>
      <c r="H56" s="14"/>
      <c r="I56" s="14"/>
      <c r="J56" s="14"/>
      <c r="K56" s="14"/>
      <c r="L56" s="14"/>
      <c r="M56" s="44">
        <f>SUM(C56:L56)</f>
        <v>-13200</v>
      </c>
      <c r="N56" s="14"/>
      <c r="O56" s="14"/>
      <c r="P56" s="14"/>
      <c r="Q56" s="14"/>
      <c r="R56" s="14"/>
      <c r="S56" s="14"/>
      <c r="T56" s="14"/>
      <c r="U56" s="14"/>
      <c r="V56" s="44">
        <f>SUM(N56:U56)</f>
        <v>0</v>
      </c>
    </row>
    <row r="57" spans="1:22" x14ac:dyDescent="0.2">
      <c r="A57" s="47" t="s">
        <v>54</v>
      </c>
      <c r="B57" s="48"/>
      <c r="D57" s="48"/>
      <c r="E57" s="48"/>
      <c r="F57" s="48"/>
      <c r="G57" s="48"/>
      <c r="H57" s="48"/>
      <c r="I57" s="48"/>
      <c r="J57" s="48"/>
      <c r="K57" s="48"/>
      <c r="L57" s="48"/>
      <c r="M57" s="49">
        <f>SUM(C57:L57)</f>
        <v>0</v>
      </c>
      <c r="N57" s="48"/>
      <c r="O57" s="48"/>
      <c r="P57" s="48"/>
      <c r="Q57" s="48"/>
      <c r="R57" s="48"/>
      <c r="S57" s="48"/>
      <c r="T57" s="48"/>
      <c r="U57" s="48"/>
      <c r="V57" s="49">
        <f>SUM(N57:U57)</f>
        <v>0</v>
      </c>
    </row>
    <row r="58" spans="1:22" x14ac:dyDescent="0.2">
      <c r="A58" s="50" t="s">
        <v>55</v>
      </c>
      <c r="B58" s="14"/>
      <c r="D58" s="14"/>
      <c r="E58" s="14"/>
      <c r="F58" s="14"/>
      <c r="G58" s="14"/>
      <c r="H58" s="14"/>
      <c r="I58" s="14"/>
      <c r="J58" s="14"/>
      <c r="K58" s="14"/>
      <c r="L58" s="14"/>
      <c r="M58" s="43"/>
      <c r="N58" s="14"/>
      <c r="O58" s="14"/>
      <c r="P58" s="14"/>
      <c r="Q58" s="14"/>
      <c r="R58" s="14"/>
      <c r="S58" s="14"/>
      <c r="T58" s="14"/>
      <c r="U58" s="14"/>
      <c r="V58" s="43"/>
    </row>
    <row r="59" spans="1:22" ht="15" customHeight="1" x14ac:dyDescent="0.2">
      <c r="A59" s="35" t="s">
        <v>56</v>
      </c>
      <c r="B59" s="14"/>
      <c r="C59" s="16">
        <v>80000</v>
      </c>
      <c r="D59" s="17">
        <v>50000</v>
      </c>
      <c r="E59" s="14"/>
      <c r="F59" s="14"/>
      <c r="G59" s="14"/>
      <c r="H59" s="14"/>
      <c r="I59" s="14"/>
      <c r="J59" s="14"/>
      <c r="K59" s="14"/>
      <c r="L59" s="14"/>
      <c r="M59" s="44">
        <f>SUM(C59:L59)</f>
        <v>130000</v>
      </c>
      <c r="N59" s="14"/>
      <c r="O59" s="14"/>
      <c r="P59" s="14"/>
      <c r="Q59" s="14"/>
      <c r="R59" s="14"/>
      <c r="S59" s="14"/>
      <c r="T59" s="14"/>
      <c r="U59" s="14"/>
      <c r="V59" s="44">
        <f>SUM(N59:U59)</f>
        <v>0</v>
      </c>
    </row>
    <row r="60" spans="1:22" x14ac:dyDescent="0.2">
      <c r="A60" s="33" t="s">
        <v>57</v>
      </c>
      <c r="B60" s="14"/>
      <c r="D60" s="14"/>
      <c r="E60" s="14"/>
      <c r="F60" s="14"/>
      <c r="G60" s="14"/>
      <c r="H60" s="14"/>
      <c r="I60" s="14"/>
      <c r="J60" s="14"/>
      <c r="K60" s="14"/>
      <c r="L60" s="14"/>
      <c r="M60" s="44">
        <f>SUM(C60:L60)</f>
        <v>0</v>
      </c>
      <c r="N60" s="19">
        <f>-M22</f>
        <v>-14406</v>
      </c>
      <c r="O60" s="14"/>
      <c r="P60" s="14"/>
      <c r="Q60" s="14"/>
      <c r="R60" s="14"/>
      <c r="S60" s="14"/>
      <c r="T60" s="17">
        <v>-50000</v>
      </c>
      <c r="U60" s="14"/>
      <c r="V60" s="44">
        <f>SUM(N60:U60)</f>
        <v>-64406</v>
      </c>
    </row>
    <row r="61" spans="1:22" x14ac:dyDescent="0.2">
      <c r="A61" s="20" t="s">
        <v>58</v>
      </c>
      <c r="B61" s="51">
        <f t="shared" ref="B61:V61" si="9">SUM(B50:B60)</f>
        <v>0</v>
      </c>
      <c r="C61" s="22">
        <f t="shared" si="9"/>
        <v>80000</v>
      </c>
      <c r="D61" s="21">
        <f t="shared" si="9"/>
        <v>50000</v>
      </c>
      <c r="E61" s="21">
        <f t="shared" si="9"/>
        <v>-22200</v>
      </c>
      <c r="F61" s="21">
        <f t="shared" si="9"/>
        <v>-100000</v>
      </c>
      <c r="G61" s="21">
        <f t="shared" si="9"/>
        <v>-1200</v>
      </c>
      <c r="H61" s="21">
        <f t="shared" si="9"/>
        <v>122000</v>
      </c>
      <c r="I61" s="21">
        <f t="shared" si="9"/>
        <v>-1000</v>
      </c>
      <c r="J61" s="21">
        <f t="shared" si="9"/>
        <v>0</v>
      </c>
      <c r="K61" s="21">
        <f t="shared" si="9"/>
        <v>0</v>
      </c>
      <c r="L61" s="21">
        <f t="shared" si="9"/>
        <v>0</v>
      </c>
      <c r="M61" s="52">
        <f t="shared" si="9"/>
        <v>127600</v>
      </c>
      <c r="N61" s="21">
        <f t="shared" si="9"/>
        <v>34594</v>
      </c>
      <c r="O61" s="21">
        <f t="shared" si="9"/>
        <v>-155000</v>
      </c>
      <c r="P61" s="21">
        <f t="shared" si="9"/>
        <v>156000</v>
      </c>
      <c r="Q61" s="21">
        <f t="shared" si="9"/>
        <v>250</v>
      </c>
      <c r="R61" s="21">
        <f t="shared" si="9"/>
        <v>-1000</v>
      </c>
      <c r="S61" s="21">
        <f t="shared" si="9"/>
        <v>0</v>
      </c>
      <c r="T61" s="21">
        <f t="shared" si="9"/>
        <v>-51000</v>
      </c>
      <c r="U61" s="21">
        <f t="shared" si="9"/>
        <v>-15435</v>
      </c>
      <c r="V61" s="52">
        <f t="shared" si="9"/>
        <v>-31591</v>
      </c>
    </row>
    <row r="62" spans="1:22" x14ac:dyDescent="0.2">
      <c r="A62" t="s">
        <v>59</v>
      </c>
      <c r="B62" s="24"/>
      <c r="C62" s="24">
        <v>0</v>
      </c>
      <c r="D62" s="24">
        <f t="shared" ref="D62:L62" si="10">C63</f>
        <v>80000</v>
      </c>
      <c r="E62" s="24">
        <f t="shared" si="10"/>
        <v>130000</v>
      </c>
      <c r="F62" s="24">
        <f t="shared" si="10"/>
        <v>107800</v>
      </c>
      <c r="G62" s="24">
        <f t="shared" si="10"/>
        <v>7800</v>
      </c>
      <c r="H62" s="24">
        <f t="shared" si="10"/>
        <v>6600</v>
      </c>
      <c r="I62" s="24">
        <f t="shared" si="10"/>
        <v>128600</v>
      </c>
      <c r="J62" s="24">
        <f t="shared" si="10"/>
        <v>127600</v>
      </c>
      <c r="K62" s="24">
        <f t="shared" si="10"/>
        <v>127600</v>
      </c>
      <c r="L62" s="24">
        <f t="shared" si="10"/>
        <v>127600</v>
      </c>
      <c r="M62" s="24">
        <v>0</v>
      </c>
      <c r="N62" s="24">
        <f t="shared" ref="N62:U62" si="11">M63</f>
        <v>127600</v>
      </c>
      <c r="O62" s="24">
        <f t="shared" si="11"/>
        <v>162194</v>
      </c>
      <c r="P62" s="24">
        <f t="shared" si="11"/>
        <v>7194</v>
      </c>
      <c r="Q62" s="24">
        <f t="shared" si="11"/>
        <v>163194</v>
      </c>
      <c r="R62" s="24">
        <f t="shared" si="11"/>
        <v>163444</v>
      </c>
      <c r="S62" s="24">
        <f t="shared" si="11"/>
        <v>162444</v>
      </c>
      <c r="T62" s="24">
        <f t="shared" si="11"/>
        <v>162444</v>
      </c>
      <c r="U62" s="24">
        <f t="shared" si="11"/>
        <v>111444</v>
      </c>
      <c r="V62" s="24">
        <f>M63</f>
        <v>127600</v>
      </c>
    </row>
    <row r="63" spans="1:22" x14ac:dyDescent="0.2">
      <c r="A63" t="s">
        <v>60</v>
      </c>
      <c r="B63" s="22"/>
      <c r="C63" s="22">
        <f t="shared" ref="C63:V63" si="12">C62+C61</f>
        <v>80000</v>
      </c>
      <c r="D63" s="22">
        <f t="shared" si="12"/>
        <v>130000</v>
      </c>
      <c r="E63" s="22">
        <f t="shared" si="12"/>
        <v>107800</v>
      </c>
      <c r="F63" s="22">
        <f t="shared" si="12"/>
        <v>7800</v>
      </c>
      <c r="G63" s="22">
        <f t="shared" si="12"/>
        <v>6600</v>
      </c>
      <c r="H63" s="22">
        <f t="shared" si="12"/>
        <v>128600</v>
      </c>
      <c r="I63" s="22">
        <f t="shared" si="12"/>
        <v>127600</v>
      </c>
      <c r="J63" s="22">
        <f t="shared" si="12"/>
        <v>127600</v>
      </c>
      <c r="K63" s="22">
        <f t="shared" si="12"/>
        <v>127600</v>
      </c>
      <c r="L63" s="22">
        <f t="shared" si="12"/>
        <v>127600</v>
      </c>
      <c r="M63" s="22">
        <f t="shared" si="12"/>
        <v>127600</v>
      </c>
      <c r="N63" s="22">
        <f t="shared" si="12"/>
        <v>162194</v>
      </c>
      <c r="O63" s="22">
        <f t="shared" si="12"/>
        <v>7194</v>
      </c>
      <c r="P63" s="22">
        <f t="shared" si="12"/>
        <v>163194</v>
      </c>
      <c r="Q63" s="22">
        <f t="shared" si="12"/>
        <v>163444</v>
      </c>
      <c r="R63" s="22">
        <f t="shared" si="12"/>
        <v>162444</v>
      </c>
      <c r="S63" s="22">
        <f t="shared" si="12"/>
        <v>162444</v>
      </c>
      <c r="T63" s="22">
        <f t="shared" si="12"/>
        <v>111444</v>
      </c>
      <c r="U63" s="22">
        <f t="shared" si="12"/>
        <v>96009</v>
      </c>
      <c r="V63" s="22">
        <f t="shared" si="12"/>
        <v>96009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Edilene Santana Santos</dc:creator>
  <dc:description/>
  <cp:lastModifiedBy>Arthur Malucelli</cp:lastModifiedBy>
  <cp:revision>0</cp:revision>
  <dcterms:created xsi:type="dcterms:W3CDTF">2025-02-26T20:27:53Z</dcterms:created>
  <dcterms:modified xsi:type="dcterms:W3CDTF">2026-08-23T23:20:40Z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4f7750d-9cdf-4ba7-80aa-2c6ffdc35229_ActionId">
    <vt:lpwstr>7111c39e-b43a-42ef-a5ce-4705c32634a0</vt:lpwstr>
  </property>
  <property fmtid="{D5CDD505-2E9C-101B-9397-08002B2CF9AE}" pid="3" name="MSIP_Label_84f7750d-9cdf-4ba7-80aa-2c6ffdc35229_ContentBits">
    <vt:lpwstr>0</vt:lpwstr>
  </property>
  <property fmtid="{D5CDD505-2E9C-101B-9397-08002B2CF9AE}" pid="4" name="MSIP_Label_84f7750d-9cdf-4ba7-80aa-2c6ffdc35229_Enabled">
    <vt:lpwstr>true</vt:lpwstr>
  </property>
  <property fmtid="{D5CDD505-2E9C-101B-9397-08002B2CF9AE}" pid="5" name="MSIP_Label_84f7750d-9cdf-4ba7-80aa-2c6ffdc35229_Method">
    <vt:lpwstr>Standard</vt:lpwstr>
  </property>
  <property fmtid="{D5CDD505-2E9C-101B-9397-08002B2CF9AE}" pid="6" name="MSIP_Label_84f7750d-9cdf-4ba7-80aa-2c6ffdc35229_Name">
    <vt:lpwstr>Nível - 1</vt:lpwstr>
  </property>
  <property fmtid="{D5CDD505-2E9C-101B-9397-08002B2CF9AE}" pid="7" name="MSIP_Label_84f7750d-9cdf-4ba7-80aa-2c6ffdc35229_SetDate">
    <vt:lpwstr>2026-08-12T10:17:34Z</vt:lpwstr>
  </property>
  <property fmtid="{D5CDD505-2E9C-101B-9397-08002B2CF9AE}" pid="8" name="MSIP_Label_84f7750d-9cdf-4ba7-80aa-2c6ffdc35229_SiteId">
    <vt:lpwstr>79f6b639-ab12-4280-8077-bdbeef869b33</vt:lpwstr>
  </property>
  <property fmtid="{D5CDD505-2E9C-101B-9397-08002B2CF9AE}" pid="9" name="MSIP_Label_84f7750d-9cdf-4ba7-80aa-2c6ffdc35229_Tag">
    <vt:lpwstr>10, 3, 0, 1</vt:lpwstr>
  </property>
</Properties>
</file>