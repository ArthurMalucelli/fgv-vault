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rthurmalucelli/FGV/ContabilidadeFinanceira/Treinos/"/>
    </mc:Choice>
  </mc:AlternateContent>
  <xr:revisionPtr revIDLastSave="0" documentId="13_ncr:1_{A08CB652-A409-B548-AF12-C7EBB4DFDB62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Equação" sheetId="1" r:id="rId1"/>
    <sheet name="Gabarito Equação" sheetId="4" r:id="rId2"/>
    <sheet name="Plan" sheetId="2" r:id="rId3"/>
    <sheet name="Gabarito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2" l="1"/>
  <c r="L51" i="2"/>
  <c r="K50" i="2"/>
  <c r="N46" i="2"/>
  <c r="L45" i="2"/>
  <c r="I44" i="2"/>
  <c r="H42" i="2"/>
  <c r="G43" i="2"/>
  <c r="F42" i="2"/>
  <c r="D42" i="2"/>
  <c r="M48" i="2"/>
  <c r="O48" i="2"/>
  <c r="N48" i="2"/>
  <c r="L48" i="2"/>
  <c r="K48" i="2"/>
  <c r="J48" i="2"/>
  <c r="I48" i="2"/>
  <c r="H48" i="2"/>
  <c r="G48" i="2"/>
  <c r="F48" i="2"/>
  <c r="E48" i="2"/>
  <c r="D48" i="2"/>
  <c r="J33" i="2"/>
  <c r="I32" i="2"/>
  <c r="D30" i="2"/>
  <c r="D31" i="2"/>
  <c r="D34" i="2" s="1"/>
  <c r="D36" i="2" s="1"/>
  <c r="D38" i="2" s="1"/>
  <c r="D29" i="2"/>
  <c r="P29" i="2" s="1"/>
  <c r="J19" i="1"/>
  <c r="J17" i="1"/>
  <c r="J6" i="1"/>
  <c r="K29" i="4"/>
  <c r="K27" i="4"/>
  <c r="K25" i="4"/>
  <c r="K23" i="4"/>
  <c r="K21" i="4"/>
  <c r="K19" i="4"/>
  <c r="K17" i="4"/>
  <c r="K15" i="4"/>
  <c r="K13" i="4"/>
  <c r="K11" i="4"/>
  <c r="K9" i="4"/>
  <c r="K6" i="4"/>
  <c r="G53" i="3"/>
  <c r="P52" i="3"/>
  <c r="P49" i="3" s="1"/>
  <c r="P51" i="3"/>
  <c r="P50" i="3"/>
  <c r="O49" i="3"/>
  <c r="N49" i="3"/>
  <c r="M49" i="3"/>
  <c r="L49" i="3"/>
  <c r="K49" i="3"/>
  <c r="J49" i="3"/>
  <c r="I49" i="3"/>
  <c r="H49" i="3"/>
  <c r="G49" i="3"/>
  <c r="F49" i="3"/>
  <c r="E49" i="3"/>
  <c r="D49" i="3"/>
  <c r="P48" i="3"/>
  <c r="P47" i="3" s="1"/>
  <c r="O47" i="3"/>
  <c r="N47" i="3"/>
  <c r="M47" i="3"/>
  <c r="L47" i="3"/>
  <c r="K47" i="3"/>
  <c r="J47" i="3"/>
  <c r="I47" i="3"/>
  <c r="H47" i="3"/>
  <c r="G47" i="3"/>
  <c r="F47" i="3"/>
  <c r="E47" i="3"/>
  <c r="D47" i="3"/>
  <c r="P46" i="3"/>
  <c r="P45" i="3"/>
  <c r="P44" i="3"/>
  <c r="P41" i="3" s="1"/>
  <c r="P43" i="3"/>
  <c r="P42" i="3"/>
  <c r="O41" i="3"/>
  <c r="O53" i="3" s="1"/>
  <c r="N41" i="3"/>
  <c r="N53" i="3" s="1"/>
  <c r="M41" i="3"/>
  <c r="M53" i="3" s="1"/>
  <c r="L41" i="3"/>
  <c r="L53" i="3" s="1"/>
  <c r="K41" i="3"/>
  <c r="K53" i="3" s="1"/>
  <c r="J41" i="3"/>
  <c r="J53" i="3" s="1"/>
  <c r="I41" i="3"/>
  <c r="I53" i="3" s="1"/>
  <c r="H41" i="3"/>
  <c r="H53" i="3" s="1"/>
  <c r="G41" i="3"/>
  <c r="F41" i="3"/>
  <c r="F53" i="3" s="1"/>
  <c r="E41" i="3"/>
  <c r="E53" i="3" s="1"/>
  <c r="D41" i="3"/>
  <c r="D53" i="3" s="1"/>
  <c r="P37" i="3"/>
  <c r="I36" i="3"/>
  <c r="I38" i="3" s="1"/>
  <c r="H36" i="3"/>
  <c r="H38" i="3" s="1"/>
  <c r="P35" i="3"/>
  <c r="O34" i="3"/>
  <c r="O36" i="3" s="1"/>
  <c r="O38" i="3" s="1"/>
  <c r="N34" i="3"/>
  <c r="N36" i="3" s="1"/>
  <c r="N38" i="3" s="1"/>
  <c r="L34" i="3"/>
  <c r="L36" i="3" s="1"/>
  <c r="L38" i="3" s="1"/>
  <c r="I34" i="3"/>
  <c r="H34" i="3"/>
  <c r="G34" i="3"/>
  <c r="G36" i="3" s="1"/>
  <c r="G38" i="3" s="1"/>
  <c r="F34" i="3"/>
  <c r="F36" i="3" s="1"/>
  <c r="F38" i="3" s="1"/>
  <c r="D34" i="3"/>
  <c r="D36" i="3" s="1"/>
  <c r="D38" i="3" s="1"/>
  <c r="P33" i="3"/>
  <c r="P32" i="3"/>
  <c r="O31" i="3"/>
  <c r="N31" i="3"/>
  <c r="M31" i="3"/>
  <c r="M34" i="3" s="1"/>
  <c r="M36" i="3" s="1"/>
  <c r="M38" i="3" s="1"/>
  <c r="L31" i="3"/>
  <c r="K31" i="3"/>
  <c r="K34" i="3" s="1"/>
  <c r="K36" i="3" s="1"/>
  <c r="K38" i="3" s="1"/>
  <c r="J31" i="3"/>
  <c r="J34" i="3" s="1"/>
  <c r="J36" i="3" s="1"/>
  <c r="J38" i="3" s="1"/>
  <c r="I31" i="3"/>
  <c r="H31" i="3"/>
  <c r="G31" i="3"/>
  <c r="F31" i="3"/>
  <c r="E31" i="3"/>
  <c r="E34" i="3" s="1"/>
  <c r="E36" i="3" s="1"/>
  <c r="E38" i="3" s="1"/>
  <c r="D31" i="3"/>
  <c r="P30" i="3"/>
  <c r="P31" i="3" s="1"/>
  <c r="P29" i="3"/>
  <c r="N26" i="3"/>
  <c r="L26" i="3"/>
  <c r="F26" i="3"/>
  <c r="D26" i="3"/>
  <c r="O24" i="3"/>
  <c r="N24" i="3"/>
  <c r="M24" i="3"/>
  <c r="L24" i="3"/>
  <c r="K24" i="3"/>
  <c r="J24" i="3"/>
  <c r="J26" i="3" s="1"/>
  <c r="I24" i="3"/>
  <c r="H24" i="3"/>
  <c r="G24" i="3"/>
  <c r="F24" i="3"/>
  <c r="E24" i="3"/>
  <c r="D24" i="3"/>
  <c r="C24" i="3"/>
  <c r="P23" i="3"/>
  <c r="P22" i="3"/>
  <c r="P20" i="3"/>
  <c r="P24" i="3" s="1"/>
  <c r="P18" i="3"/>
  <c r="P17" i="3"/>
  <c r="P16" i="3"/>
  <c r="P15" i="3"/>
  <c r="O12" i="3"/>
  <c r="O26" i="3" s="1"/>
  <c r="N12" i="3"/>
  <c r="M12" i="3"/>
  <c r="M26" i="3" s="1"/>
  <c r="L12" i="3"/>
  <c r="K12" i="3"/>
  <c r="K26" i="3" s="1"/>
  <c r="J12" i="3"/>
  <c r="I12" i="3"/>
  <c r="I26" i="3" s="1"/>
  <c r="H12" i="3"/>
  <c r="H26" i="3" s="1"/>
  <c r="G12" i="3"/>
  <c r="G26" i="3" s="1"/>
  <c r="F12" i="3"/>
  <c r="E12" i="3"/>
  <c r="E26" i="3" s="1"/>
  <c r="D12" i="3"/>
  <c r="C12" i="3"/>
  <c r="C26" i="3" s="1"/>
  <c r="P11" i="3"/>
  <c r="P10" i="3"/>
  <c r="P8" i="3"/>
  <c r="P7" i="3"/>
  <c r="P12" i="3" s="1"/>
  <c r="P6" i="3"/>
  <c r="R52" i="2"/>
  <c r="P52" i="2"/>
  <c r="R51" i="2"/>
  <c r="P51" i="2"/>
  <c r="R50" i="2"/>
  <c r="P50" i="2"/>
  <c r="O49" i="2"/>
  <c r="N49" i="2"/>
  <c r="M49" i="2"/>
  <c r="L49" i="2"/>
  <c r="K49" i="2"/>
  <c r="J49" i="2"/>
  <c r="I49" i="2"/>
  <c r="H49" i="2"/>
  <c r="G49" i="2"/>
  <c r="F49" i="2"/>
  <c r="E49" i="2"/>
  <c r="D49" i="2"/>
  <c r="P48" i="2"/>
  <c r="P47" i="2" s="1"/>
  <c r="O47" i="2"/>
  <c r="N47" i="2"/>
  <c r="M47" i="2"/>
  <c r="L47" i="2"/>
  <c r="K47" i="2"/>
  <c r="J47" i="2"/>
  <c r="I47" i="2"/>
  <c r="H47" i="2"/>
  <c r="G47" i="2"/>
  <c r="G53" i="2" s="1"/>
  <c r="F47" i="2"/>
  <c r="E47" i="2"/>
  <c r="D47" i="2"/>
  <c r="R46" i="2"/>
  <c r="P46" i="2"/>
  <c r="R45" i="2"/>
  <c r="P45" i="2"/>
  <c r="P44" i="2"/>
  <c r="R44" i="2" s="1"/>
  <c r="P43" i="2"/>
  <c r="R43" i="2" s="1"/>
  <c r="P42" i="2"/>
  <c r="R42" i="2" s="1"/>
  <c r="O41" i="2"/>
  <c r="N41" i="2"/>
  <c r="M41" i="2"/>
  <c r="L41" i="2"/>
  <c r="K41" i="2"/>
  <c r="J41" i="2"/>
  <c r="I41" i="2"/>
  <c r="H41" i="2"/>
  <c r="G41" i="2"/>
  <c r="F41" i="2"/>
  <c r="E41" i="2"/>
  <c r="E53" i="2" s="1"/>
  <c r="D41" i="2"/>
  <c r="P37" i="2"/>
  <c r="R37" i="2" s="1"/>
  <c r="R35" i="2"/>
  <c r="P35" i="2"/>
  <c r="E34" i="2"/>
  <c r="E36" i="2" s="1"/>
  <c r="E38" i="2" s="1"/>
  <c r="R33" i="2"/>
  <c r="P33" i="2"/>
  <c r="R32" i="2"/>
  <c r="P32" i="2"/>
  <c r="O31" i="2"/>
  <c r="O34" i="2" s="1"/>
  <c r="O36" i="2" s="1"/>
  <c r="O38" i="2" s="1"/>
  <c r="N31" i="2"/>
  <c r="N34" i="2" s="1"/>
  <c r="N36" i="2" s="1"/>
  <c r="N38" i="2" s="1"/>
  <c r="M31" i="2"/>
  <c r="M34" i="2" s="1"/>
  <c r="M36" i="2" s="1"/>
  <c r="M38" i="2" s="1"/>
  <c r="L31" i="2"/>
  <c r="L34" i="2" s="1"/>
  <c r="L36" i="2" s="1"/>
  <c r="L38" i="2" s="1"/>
  <c r="K31" i="2"/>
  <c r="K34" i="2" s="1"/>
  <c r="K36" i="2" s="1"/>
  <c r="K38" i="2" s="1"/>
  <c r="J31" i="2"/>
  <c r="J34" i="2" s="1"/>
  <c r="J36" i="2" s="1"/>
  <c r="J38" i="2" s="1"/>
  <c r="I31" i="2"/>
  <c r="I34" i="2" s="1"/>
  <c r="I36" i="2" s="1"/>
  <c r="I38" i="2" s="1"/>
  <c r="H31" i="2"/>
  <c r="H34" i="2" s="1"/>
  <c r="H36" i="2" s="1"/>
  <c r="H38" i="2" s="1"/>
  <c r="G31" i="2"/>
  <c r="G34" i="2" s="1"/>
  <c r="G36" i="2" s="1"/>
  <c r="G38" i="2" s="1"/>
  <c r="F31" i="2"/>
  <c r="F34" i="2" s="1"/>
  <c r="F36" i="2" s="1"/>
  <c r="F38" i="2" s="1"/>
  <c r="E31" i="2"/>
  <c r="P30" i="2"/>
  <c r="R30" i="2" s="1"/>
  <c r="O24" i="2"/>
  <c r="N24" i="2"/>
  <c r="M24" i="2"/>
  <c r="L24" i="2"/>
  <c r="K24" i="2"/>
  <c r="J24" i="2"/>
  <c r="I24" i="2"/>
  <c r="I26" i="2" s="1"/>
  <c r="H24" i="2"/>
  <c r="G24" i="2"/>
  <c r="E24" i="2"/>
  <c r="D24" i="2"/>
  <c r="C24" i="2"/>
  <c r="R22" i="2"/>
  <c r="P22" i="2"/>
  <c r="P20" i="2"/>
  <c r="R20" i="2" s="1"/>
  <c r="P18" i="2"/>
  <c r="R18" i="2" s="1"/>
  <c r="P17" i="2"/>
  <c r="R17" i="2" s="1"/>
  <c r="P16" i="2"/>
  <c r="R16" i="2" s="1"/>
  <c r="P15" i="2"/>
  <c r="R15" i="2" s="1"/>
  <c r="O12" i="2"/>
  <c r="N12" i="2"/>
  <c r="M12" i="2"/>
  <c r="L12" i="2"/>
  <c r="K12" i="2"/>
  <c r="J12" i="2"/>
  <c r="I12" i="2"/>
  <c r="H12" i="2"/>
  <c r="G12" i="2"/>
  <c r="G26" i="2" s="1"/>
  <c r="F12" i="2"/>
  <c r="E12" i="2"/>
  <c r="D12" i="2"/>
  <c r="C12" i="2"/>
  <c r="P11" i="2"/>
  <c r="R11" i="2" s="1"/>
  <c r="P10" i="2"/>
  <c r="R10" i="2" s="1"/>
  <c r="P8" i="2"/>
  <c r="R8" i="2" s="1"/>
  <c r="P7" i="2"/>
  <c r="R7" i="2" s="1"/>
  <c r="P6" i="2"/>
  <c r="R6" i="2" s="1"/>
  <c r="K29" i="1"/>
  <c r="K27" i="1"/>
  <c r="K25" i="1"/>
  <c r="K23" i="1"/>
  <c r="K21" i="1"/>
  <c r="K19" i="1"/>
  <c r="K17" i="1"/>
  <c r="K15" i="1"/>
  <c r="K13" i="1"/>
  <c r="K11" i="1"/>
  <c r="K9" i="1"/>
  <c r="K6" i="1"/>
  <c r="O53" i="2" l="1"/>
  <c r="P41" i="2"/>
  <c r="M53" i="2"/>
  <c r="R48" i="2"/>
  <c r="R29" i="2"/>
  <c r="L53" i="2"/>
  <c r="I53" i="2"/>
  <c r="N53" i="2"/>
  <c r="P49" i="2"/>
  <c r="J26" i="2"/>
  <c r="F53" i="2"/>
  <c r="C26" i="2"/>
  <c r="H53" i="2"/>
  <c r="J53" i="2"/>
  <c r="D53" i="2"/>
  <c r="K53" i="2"/>
  <c r="O26" i="2"/>
  <c r="N26" i="2"/>
  <c r="M26" i="2"/>
  <c r="L26" i="2"/>
  <c r="K26" i="2"/>
  <c r="H26" i="2"/>
  <c r="P12" i="2"/>
  <c r="P23" i="2"/>
  <c r="R23" i="2" s="1"/>
  <c r="F24" i="2"/>
  <c r="F26" i="2" s="1"/>
  <c r="E26" i="2"/>
  <c r="D26" i="2"/>
  <c r="P26" i="3"/>
  <c r="P62" i="3"/>
  <c r="P34" i="3"/>
  <c r="P36" i="3" s="1"/>
  <c r="P38" i="3" s="1"/>
  <c r="P63" i="3" s="1"/>
  <c r="P60" i="3"/>
  <c r="P53" i="3"/>
  <c r="P55" i="3" s="1"/>
  <c r="P57" i="3" s="1"/>
  <c r="P31" i="2"/>
  <c r="P34" i="2" s="1"/>
  <c r="P36" i="2" s="1"/>
  <c r="P38" i="2" s="1"/>
  <c r="P61" i="2" s="1"/>
  <c r="P53" i="2" l="1"/>
  <c r="P55" i="2" s="1"/>
  <c r="P57" i="2" s="1"/>
  <c r="R57" i="2" s="1"/>
  <c r="P60" i="2"/>
  <c r="P62" i="2"/>
  <c r="P24" i="2"/>
  <c r="P26" i="2" s="1"/>
  <c r="R26" i="2" s="1"/>
  <c r="P63" i="2"/>
  <c r="P61" i="3"/>
</calcChain>
</file>

<file path=xl/sharedStrings.xml><?xml version="1.0" encoding="utf-8"?>
<sst xmlns="http://schemas.openxmlformats.org/spreadsheetml/2006/main" count="366" uniqueCount="92">
  <si>
    <t>Cervejaria Mar Grosso S.A.  |  Efeito das transações na Equação do Balanço</t>
  </si>
  <si>
    <t>Uma linha por movimento: escreve a conta e o valor, com sinal. Transação que mexe em três contas do mesmo lado usa as três linhas. A coluna Check acusa se aquela transação fechou.</t>
  </si>
  <si>
    <t>Nº</t>
  </si>
  <si>
    <t>Descrição</t>
  </si>
  <si>
    <t>ATIVO</t>
  </si>
  <si>
    <t>=</t>
  </si>
  <si>
    <t>PASSIVO</t>
  </si>
  <si>
    <t>+</t>
  </si>
  <si>
    <t>PATRIMÔNIO LÍQUIDO</t>
  </si>
  <si>
    <t>Check</t>
  </si>
  <si>
    <t>conta</t>
  </si>
  <si>
    <t>valor</t>
  </si>
  <si>
    <t>Vendas do ano de 520, sendo 380 à vista e 140 a prazo; o custo das mercadorias vendidas foi de 300</t>
  </si>
  <si>
    <t>Compras de estoque no ano: 330, integralmente a prazo</t>
  </si>
  <si>
    <t>Recebimento de 95 de clientes, referente a vendas de anos anteriores</t>
  </si>
  <si>
    <t>Pagamento de 310 a fornecedores</t>
  </si>
  <si>
    <t>Cliente corporativo adianta 25 por uma encomenda que só será entregue no ano seguinte</t>
  </si>
  <si>
    <t>Despesas de vendas e administrativas de 90, pagas à vista</t>
  </si>
  <si>
    <t>Depreciação do imobilizado no ano: 30</t>
  </si>
  <si>
    <t>Captação de novo empréstimo bancário de 80</t>
  </si>
  <si>
    <t>Amortização de 50 do principal da dívida e pagamento de 10 de juros do período</t>
  </si>
  <si>
    <t>Compra de um novo forno por 120, pagando 45 à vista e 75 em financiamento de longo prazo</t>
  </si>
  <si>
    <t>IR e CSLL do ano: 27, sendo 20 pagos à vista e 7 a recolher no ano seguinte</t>
  </si>
  <si>
    <t>Dividendos de 25 declarados e pagos em dinheiro</t>
  </si>
  <si>
    <t>Cervejaria Mar Grosso S.A.</t>
  </si>
  <si>
    <t>Transações, por Número e Descrição</t>
  </si>
  <si>
    <t>Ano 2  |  valores em R$ mil</t>
  </si>
  <si>
    <t>Vendas do ano de 520, sendo 380 à vista e 140 a prazo; o cus</t>
  </si>
  <si>
    <t>Recebimento de 95 de clientes, referente a vendas de anos an</t>
  </si>
  <si>
    <t>Cliente corporativo adianta 25 por uma encomenda que só será</t>
  </si>
  <si>
    <t>Amortização de 50 do principal da dívida e pagamento de 10 d</t>
  </si>
  <si>
    <t xml:space="preserve">Compra de um novo forno por 120, pagando 45 à vista e 75 em </t>
  </si>
  <si>
    <t xml:space="preserve">IR e CSLL do ano: 27, sendo 20 pagos à vista e 7 a recolher </t>
  </si>
  <si>
    <t>Balanço Patrimonial</t>
  </si>
  <si>
    <t>Balanço Inicial</t>
  </si>
  <si>
    <t>Balanço Final</t>
  </si>
  <si>
    <t>Ativo Circulante</t>
  </si>
  <si>
    <t>Caixa</t>
  </si>
  <si>
    <t>Contas a Receber</t>
  </si>
  <si>
    <t>Estoques</t>
  </si>
  <si>
    <t>Ativo Não Circulante</t>
  </si>
  <si>
    <t>Imobilizado</t>
  </si>
  <si>
    <t>(-) Depreciação Acumulada</t>
  </si>
  <si>
    <t xml:space="preserve">  Total do Ativo</t>
  </si>
  <si>
    <t>PASSIVO E PATRIM. LÍQUIDO</t>
  </si>
  <si>
    <t>Passivo Circulante:</t>
  </si>
  <si>
    <t>Fornecedores</t>
  </si>
  <si>
    <t>Adiantamentos de Clientes</t>
  </si>
  <si>
    <t>IR a Pagar</t>
  </si>
  <si>
    <t>Empréstimos</t>
  </si>
  <si>
    <t>Passivo Não Circulante:</t>
  </si>
  <si>
    <t>Financiamento a Pagar (LP)</t>
  </si>
  <si>
    <t>Patrimônio Líquido:</t>
  </si>
  <si>
    <t>Capital Social</t>
  </si>
  <si>
    <t>Lucros Acumulados</t>
  </si>
  <si>
    <t>Total Passivo e Patrim. Líquido</t>
  </si>
  <si>
    <t>Diferença, se houver (tem que dar zero)</t>
  </si>
  <si>
    <t>Demonstração do Resultado</t>
  </si>
  <si>
    <t>Ano 2</t>
  </si>
  <si>
    <t>Receita Líquida de Vendas</t>
  </si>
  <si>
    <t>(-) Custo das Mercadorias Vendidas</t>
  </si>
  <si>
    <t xml:space="preserve">     (=) Lucro Bruto</t>
  </si>
  <si>
    <t>(-) Despesas Operacionais</t>
  </si>
  <si>
    <t>(-) Depreciação</t>
  </si>
  <si>
    <t xml:space="preserve">     (=) EBIT</t>
  </si>
  <si>
    <t>(+/-) Resultado Financeiro</t>
  </si>
  <si>
    <t xml:space="preserve">     (=) LAIR</t>
  </si>
  <si>
    <t>(-) IR e CSLL</t>
  </si>
  <si>
    <t xml:space="preserve">     (=) Lucro Líquido</t>
  </si>
  <si>
    <t>Demonstração dos Fluxos de Caixa</t>
  </si>
  <si>
    <t>OPERAÇÕES</t>
  </si>
  <si>
    <t>Recebimentos de Clientes</t>
  </si>
  <si>
    <t>Pagamentos a Fornecedores</t>
  </si>
  <si>
    <t>Pagamentos de Despesas</t>
  </si>
  <si>
    <t>Juros Pagos</t>
  </si>
  <si>
    <t>IR Pago</t>
  </si>
  <si>
    <t>INVESTIMENTOS</t>
  </si>
  <si>
    <t>Aquisição de Imobilizado</t>
  </si>
  <si>
    <t>FINANCIAMENTOS</t>
  </si>
  <si>
    <t>Captação de Empréstimos</t>
  </si>
  <si>
    <t>Amortização de Empréstimos</t>
  </si>
  <si>
    <t>Dividendos Pagos</t>
  </si>
  <si>
    <t>VARIAÇÃO NO CAIXA</t>
  </si>
  <si>
    <t xml:space="preserve">    Saldo inicial de caixa</t>
  </si>
  <si>
    <t xml:space="preserve">    Saldo final de caixa</t>
  </si>
  <si>
    <t>Caixa final da DFC menos Caixa do BP (tem que dar zero)</t>
  </si>
  <si>
    <t>Indicadores (automáticos)</t>
  </si>
  <si>
    <t>Margem bruta</t>
  </si>
  <si>
    <t>Margem líquida</t>
  </si>
  <si>
    <t>% financiado por capital próprio (PL / Ativo)</t>
  </si>
  <si>
    <t>ROE (LL / PL final)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</si>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</sst>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;&quot;-&quot;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b/>
      <sz val="11"/>
      <name val="Calibri"/>
      <family val="2"/>
    </font>
    <font>
      <i/>
      <sz val="8"/>
      <color rgb="FF808080"/>
      <name val="Calibri"/>
      <family val="2"/>
    </font>
    <font>
      <b/>
      <i/>
      <sz val="9"/>
      <name val="Calibri"/>
      <family val="2"/>
    </font>
    <font>
      <b/>
      <i/>
      <sz val="11"/>
      <name val="Calibri"/>
      <family val="2"/>
    </font>
    <font>
      <b/>
      <sz val="11"/>
      <color rgb="FFC00000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 applyAlignment="1">
      <alignment wrapText="1"/>
    </xf>
    <xf numFmtId="0" fontId="3" fillId="3" borderId="0" xfId="0" applyFont="1" applyFill="1"/>
    <xf numFmtId="0" fontId="3" fillId="5" borderId="0" xfId="0" applyFont="1" applyFill="1"/>
    <xf numFmtId="0" fontId="6" fillId="0" borderId="0" xfId="0" applyFon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64" fontId="3" fillId="5" borderId="0" xfId="0" applyNumberFormat="1" applyFont="1" applyFill="1"/>
    <xf numFmtId="0" fontId="7" fillId="0" borderId="0" xfId="0" applyFont="1"/>
    <xf numFmtId="0" fontId="8" fillId="0" borderId="0" xfId="0" applyFont="1"/>
    <xf numFmtId="165" fontId="3" fillId="0" borderId="0" xfId="0" applyNumberFormat="1" applyFont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showGridLines="0" zoomScale="138" workbookViewId="0">
      <pane xSplit="2" ySplit="5" topLeftCell="C6" activePane="bottomRight" state="frozen"/>
      <selection pane="topRight"/>
      <selection pane="bottomLeft"/>
      <selection pane="bottomRight" activeCell="I21" sqref="I21:J21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24" customWidth="1"/>
    <col min="4" max="4" width="13" customWidth="1"/>
    <col min="5" max="5" width="3" customWidth="1"/>
    <col min="6" max="6" width="24" customWidth="1"/>
    <col min="7" max="7" width="13" customWidth="1"/>
    <col min="8" max="8" width="3" customWidth="1"/>
    <col min="9" max="9" width="20" customWidth="1"/>
    <col min="10" max="10" width="13" customWidth="1"/>
    <col min="11" max="11" width="8" customWidth="1"/>
  </cols>
  <sheetData>
    <row r="1" spans="1:11" x14ac:dyDescent="0.2">
      <c r="A1" s="25" t="s">
        <v>0</v>
      </c>
      <c r="B1" s="23"/>
      <c r="C1" s="23"/>
      <c r="D1" s="23"/>
    </row>
    <row r="2" spans="1:11" x14ac:dyDescent="0.2">
      <c r="A2" s="1" t="s">
        <v>1</v>
      </c>
    </row>
    <row r="4" spans="1:11" x14ac:dyDescent="0.2">
      <c r="A4" s="2" t="s">
        <v>2</v>
      </c>
      <c r="B4" s="2" t="s">
        <v>3</v>
      </c>
      <c r="C4" s="20" t="s">
        <v>4</v>
      </c>
      <c r="D4" s="21"/>
      <c r="E4" s="2" t="s">
        <v>5</v>
      </c>
      <c r="F4" s="20" t="s">
        <v>6</v>
      </c>
      <c r="G4" s="21"/>
      <c r="H4" s="2" t="s">
        <v>7</v>
      </c>
      <c r="I4" s="20" t="s">
        <v>8</v>
      </c>
      <c r="J4" s="21"/>
      <c r="K4" s="2" t="s">
        <v>9</v>
      </c>
    </row>
    <row r="5" spans="1:11" x14ac:dyDescent="0.2">
      <c r="C5" s="3" t="s">
        <v>10</v>
      </c>
      <c r="D5" s="3" t="s">
        <v>11</v>
      </c>
      <c r="F5" s="3" t="s">
        <v>10</v>
      </c>
      <c r="G5" s="3" t="s">
        <v>11</v>
      </c>
      <c r="I5" s="3" t="s">
        <v>10</v>
      </c>
      <c r="J5" s="3" t="s">
        <v>11</v>
      </c>
    </row>
    <row r="6" spans="1:11" x14ac:dyDescent="0.2">
      <c r="A6" s="24">
        <v>1</v>
      </c>
      <c r="B6" s="22" t="s">
        <v>12</v>
      </c>
      <c r="C6" s="4" t="s">
        <v>37</v>
      </c>
      <c r="D6" s="5">
        <v>380</v>
      </c>
      <c r="E6" s="6" t="s">
        <v>5</v>
      </c>
      <c r="F6" s="4"/>
      <c r="G6" s="5"/>
      <c r="H6" s="6" t="s">
        <v>7</v>
      </c>
      <c r="I6" s="4" t="s">
        <v>54</v>
      </c>
      <c r="J6" s="5">
        <f>D6+D7+D8</f>
        <v>220</v>
      </c>
      <c r="K6" s="24" t="str">
        <f>IF(COUNT(D6:D8,G6:G8,J6:J8)=0,"",IF(SUM(D6:D8)-SUM(G6:G8)-SUM(J6:J8)=0,"✔","✗"))</f>
        <v>✔</v>
      </c>
    </row>
    <row r="7" spans="1:11" x14ac:dyDescent="0.2">
      <c r="A7" s="23"/>
      <c r="B7" s="23"/>
      <c r="C7" s="4" t="s">
        <v>38</v>
      </c>
      <c r="D7" s="5">
        <v>140</v>
      </c>
      <c r="E7" s="6" t="s">
        <v>5</v>
      </c>
      <c r="F7" s="4"/>
      <c r="G7" s="5"/>
      <c r="H7" s="6" t="s">
        <v>7</v>
      </c>
      <c r="I7" s="4"/>
      <c r="J7" s="5"/>
      <c r="K7" s="23"/>
    </row>
    <row r="8" spans="1:11" x14ac:dyDescent="0.2">
      <c r="A8" s="23"/>
      <c r="B8" s="23"/>
      <c r="C8" s="4" t="s">
        <v>37</v>
      </c>
      <c r="D8" s="5">
        <v>-300</v>
      </c>
      <c r="E8" s="6" t="s">
        <v>5</v>
      </c>
      <c r="F8" s="4"/>
      <c r="G8" s="5"/>
      <c r="H8" s="6" t="s">
        <v>7</v>
      </c>
      <c r="I8" s="4"/>
      <c r="J8" s="5"/>
      <c r="K8" s="23"/>
    </row>
    <row r="9" spans="1:11" x14ac:dyDescent="0.2">
      <c r="A9" s="24">
        <v>2</v>
      </c>
      <c r="B9" s="22" t="s">
        <v>13</v>
      </c>
      <c r="C9" s="4" t="s">
        <v>39</v>
      </c>
      <c r="D9" s="5">
        <v>330</v>
      </c>
      <c r="E9" s="6" t="s">
        <v>5</v>
      </c>
      <c r="F9" s="4" t="s">
        <v>46</v>
      </c>
      <c r="G9" s="5">
        <v>330</v>
      </c>
      <c r="H9" s="6" t="s">
        <v>7</v>
      </c>
      <c r="I9" s="4"/>
      <c r="J9" s="5"/>
      <c r="K9" s="24" t="str">
        <f>IF(COUNT(D9:D10,G9:G10,J9:J10)=0,"",IF(SUM(D9:D10)-SUM(G9:G10)-SUM(J9:J10)=0,"✔","✗"))</f>
        <v>✔</v>
      </c>
    </row>
    <row r="10" spans="1:11" x14ac:dyDescent="0.2">
      <c r="A10" s="23"/>
      <c r="B10" s="23"/>
      <c r="C10" s="4"/>
      <c r="D10" s="5"/>
      <c r="E10" s="6" t="s">
        <v>5</v>
      </c>
      <c r="F10" s="4"/>
      <c r="G10" s="5"/>
      <c r="H10" s="6" t="s">
        <v>7</v>
      </c>
      <c r="I10" s="4"/>
      <c r="J10" s="5"/>
      <c r="K10" s="23"/>
    </row>
    <row r="11" spans="1:11" x14ac:dyDescent="0.2">
      <c r="A11" s="24">
        <v>3</v>
      </c>
      <c r="B11" s="22" t="s">
        <v>14</v>
      </c>
      <c r="C11" s="4" t="s">
        <v>37</v>
      </c>
      <c r="D11" s="5">
        <v>95</v>
      </c>
      <c r="E11" s="6" t="s">
        <v>5</v>
      </c>
      <c r="F11" s="4"/>
      <c r="G11" s="5"/>
      <c r="H11" s="6" t="s">
        <v>7</v>
      </c>
      <c r="I11" s="4"/>
      <c r="J11" s="5"/>
      <c r="K11" s="24" t="str">
        <f>IF(COUNT(D11:D12,G11:G12,J11:J12)=0,"",IF(SUM(D11:D12)-SUM(G11:G12)-SUM(J11:J12)=0,"✔","✗"))</f>
        <v>✔</v>
      </c>
    </row>
    <row r="12" spans="1:11" x14ac:dyDescent="0.2">
      <c r="A12" s="23"/>
      <c r="B12" s="23"/>
      <c r="C12" s="4" t="s">
        <v>38</v>
      </c>
      <c r="D12" s="5">
        <v>-95</v>
      </c>
      <c r="E12" s="6" t="s">
        <v>5</v>
      </c>
      <c r="F12" s="4"/>
      <c r="G12" s="5"/>
      <c r="H12" s="6" t="s">
        <v>7</v>
      </c>
      <c r="I12" s="4"/>
      <c r="J12" s="5"/>
      <c r="K12" s="23"/>
    </row>
    <row r="13" spans="1:11" x14ac:dyDescent="0.2">
      <c r="A13" s="24">
        <v>4</v>
      </c>
      <c r="B13" s="22" t="s">
        <v>15</v>
      </c>
      <c r="C13" s="4" t="s">
        <v>37</v>
      </c>
      <c r="D13" s="5">
        <v>-310</v>
      </c>
      <c r="E13" s="6" t="s">
        <v>5</v>
      </c>
      <c r="F13" s="4" t="s">
        <v>46</v>
      </c>
      <c r="G13" s="5">
        <v>-310</v>
      </c>
      <c r="H13" s="6" t="s">
        <v>7</v>
      </c>
      <c r="I13" s="4"/>
      <c r="J13" s="5"/>
      <c r="K13" s="24" t="str">
        <f>IF(COUNT(D13:D14,G13:G14,J13:J14)=0,"",IF(SUM(D13:D14)-SUM(G13:G14)-SUM(J13:J14)=0,"✔","✗"))</f>
        <v>✔</v>
      </c>
    </row>
    <row r="14" spans="1:11" x14ac:dyDescent="0.2">
      <c r="A14" s="23"/>
      <c r="B14" s="23"/>
      <c r="C14" s="4"/>
      <c r="D14" s="5"/>
      <c r="E14" s="6" t="s">
        <v>5</v>
      </c>
      <c r="F14" s="4"/>
      <c r="G14" s="5"/>
      <c r="H14" s="6" t="s">
        <v>7</v>
      </c>
      <c r="I14" s="4"/>
      <c r="J14" s="5"/>
      <c r="K14" s="23"/>
    </row>
    <row r="15" spans="1:11" x14ac:dyDescent="0.2">
      <c r="A15" s="24">
        <v>5</v>
      </c>
      <c r="B15" s="22" t="s">
        <v>16</v>
      </c>
      <c r="C15" s="4" t="s">
        <v>38</v>
      </c>
      <c r="D15" s="5">
        <v>25</v>
      </c>
      <c r="E15" s="6" t="s">
        <v>5</v>
      </c>
      <c r="F15" s="4" t="s">
        <v>47</v>
      </c>
      <c r="G15" s="5">
        <v>25</v>
      </c>
      <c r="H15" s="6" t="s">
        <v>7</v>
      </c>
      <c r="I15" s="4"/>
      <c r="J15" s="5"/>
      <c r="K15" s="24" t="str">
        <f>IF(COUNT(D15:D16,G15:G16,J15:J16)=0,"",IF(SUM(D15:D16)-SUM(G15:G16)-SUM(J15:J16)=0,"✔","✗"))</f>
        <v>✔</v>
      </c>
    </row>
    <row r="16" spans="1:11" x14ac:dyDescent="0.2">
      <c r="A16" s="23"/>
      <c r="B16" s="23"/>
      <c r="C16" s="4"/>
      <c r="D16" s="5"/>
      <c r="E16" s="6" t="s">
        <v>5</v>
      </c>
      <c r="F16" s="4"/>
      <c r="G16" s="5"/>
      <c r="H16" s="6" t="s">
        <v>7</v>
      </c>
      <c r="I16" s="4"/>
      <c r="J16" s="5"/>
      <c r="K16" s="23"/>
    </row>
    <row r="17" spans="1:11" x14ac:dyDescent="0.2">
      <c r="A17" s="24">
        <v>6</v>
      </c>
      <c r="B17" s="22" t="s">
        <v>17</v>
      </c>
      <c r="C17" s="4" t="s">
        <v>37</v>
      </c>
      <c r="D17" s="5">
        <v>-90</v>
      </c>
      <c r="E17" s="6" t="s">
        <v>5</v>
      </c>
      <c r="F17" s="4"/>
      <c r="G17" s="5"/>
      <c r="H17" s="6" t="s">
        <v>7</v>
      </c>
      <c r="I17" s="4" t="s">
        <v>54</v>
      </c>
      <c r="J17" s="5">
        <f>D17</f>
        <v>-90</v>
      </c>
      <c r="K17" s="24" t="str">
        <f>IF(COUNT(D17:D18,G17:G18,J17:J18)=0,"",IF(SUM(D17:D18)-SUM(G17:G18)-SUM(J17:J18)=0,"✔","✗"))</f>
        <v>✔</v>
      </c>
    </row>
    <row r="18" spans="1:11" x14ac:dyDescent="0.2">
      <c r="A18" s="23"/>
      <c r="B18" s="23"/>
      <c r="C18" s="4"/>
      <c r="D18" s="5"/>
      <c r="E18" s="6" t="s">
        <v>5</v>
      </c>
      <c r="F18" s="4"/>
      <c r="G18" s="5"/>
      <c r="H18" s="6" t="s">
        <v>7</v>
      </c>
      <c r="I18" s="4"/>
      <c r="J18" s="5"/>
      <c r="K18" s="23"/>
    </row>
    <row r="19" spans="1:11" x14ac:dyDescent="0.2">
      <c r="A19" s="24">
        <v>7</v>
      </c>
      <c r="B19" s="22" t="s">
        <v>18</v>
      </c>
      <c r="C19" s="4" t="s">
        <v>42</v>
      </c>
      <c r="D19" s="5">
        <v>-30</v>
      </c>
      <c r="E19" s="6" t="s">
        <v>5</v>
      </c>
      <c r="F19" s="4"/>
      <c r="G19" s="5"/>
      <c r="H19" s="6" t="s">
        <v>7</v>
      </c>
      <c r="I19" s="4" t="s">
        <v>54</v>
      </c>
      <c r="J19" s="5">
        <f>D19</f>
        <v>-30</v>
      </c>
      <c r="K19" s="24" t="str">
        <f>IF(COUNT(D19:D20,G19:G20,J19:J20)=0,"",IF(SUM(D19:D20)-SUM(G19:G20)-SUM(J19:J20)=0,"✔","✗"))</f>
        <v>✔</v>
      </c>
    </row>
    <row r="20" spans="1:11" x14ac:dyDescent="0.2">
      <c r="A20" s="23"/>
      <c r="B20" s="23"/>
      <c r="C20" s="4"/>
      <c r="D20" s="5"/>
      <c r="E20" s="6" t="s">
        <v>5</v>
      </c>
      <c r="F20" s="4"/>
      <c r="G20" s="5"/>
      <c r="H20" s="6" t="s">
        <v>7</v>
      </c>
      <c r="I20" s="4"/>
      <c r="J20" s="5"/>
      <c r="K20" s="23"/>
    </row>
    <row r="21" spans="1:11" x14ac:dyDescent="0.2">
      <c r="A21" s="24">
        <v>8</v>
      </c>
      <c r="B21" s="22" t="s">
        <v>19</v>
      </c>
      <c r="C21" s="4" t="s">
        <v>37</v>
      </c>
      <c r="D21" s="5">
        <v>80</v>
      </c>
      <c r="E21" s="6" t="s">
        <v>5</v>
      </c>
      <c r="F21" s="4" t="s">
        <v>49</v>
      </c>
      <c r="G21" s="5">
        <v>80</v>
      </c>
      <c r="H21" s="6" t="s">
        <v>7</v>
      </c>
      <c r="I21" s="4"/>
      <c r="J21" s="5"/>
      <c r="K21" s="24" t="str">
        <f>IF(COUNT(D21:D22,G21:G22,J21:J22)=0,"",IF(SUM(D21:D22)-SUM(G21:G22)-SUM(J21:J22)=0,"✔","✗"))</f>
        <v>✔</v>
      </c>
    </row>
    <row r="22" spans="1:11" x14ac:dyDescent="0.2">
      <c r="A22" s="23"/>
      <c r="B22" s="23"/>
      <c r="C22" s="4"/>
      <c r="D22" s="5"/>
      <c r="E22" s="6" t="s">
        <v>5</v>
      </c>
      <c r="F22" s="4"/>
      <c r="G22" s="5"/>
      <c r="H22" s="6" t="s">
        <v>7</v>
      </c>
      <c r="I22" s="4"/>
      <c r="J22" s="5"/>
      <c r="K22" s="23"/>
    </row>
    <row r="23" spans="1:11" x14ac:dyDescent="0.2">
      <c r="A23" s="24">
        <v>9</v>
      </c>
      <c r="B23" s="22" t="s">
        <v>20</v>
      </c>
      <c r="C23" s="4" t="s">
        <v>37</v>
      </c>
      <c r="D23" s="5">
        <v>-60</v>
      </c>
      <c r="E23" s="6" t="s">
        <v>5</v>
      </c>
      <c r="F23" s="4" t="s">
        <v>49</v>
      </c>
      <c r="G23" s="5">
        <v>-50</v>
      </c>
      <c r="H23" s="6" t="s">
        <v>7</v>
      </c>
      <c r="I23" s="4" t="s">
        <v>54</v>
      </c>
      <c r="J23" s="5">
        <v>-10</v>
      </c>
      <c r="K23" s="24" t="str">
        <f>IF(COUNT(D23:D24,G23:G24,J23:J24)=0,"",IF(SUM(D23:D24)-SUM(G23:G24)-SUM(J23:J24)=0,"✔","✗"))</f>
        <v>✔</v>
      </c>
    </row>
    <row r="24" spans="1:11" x14ac:dyDescent="0.2">
      <c r="A24" s="23"/>
      <c r="B24" s="23"/>
      <c r="C24" s="4"/>
      <c r="D24" s="5"/>
      <c r="E24" s="6" t="s">
        <v>5</v>
      </c>
      <c r="F24" s="4"/>
      <c r="G24" s="5"/>
      <c r="H24" s="6" t="s">
        <v>7</v>
      </c>
      <c r="I24" s="4"/>
      <c r="J24" s="5"/>
      <c r="K24" s="23"/>
    </row>
    <row r="25" spans="1:11" x14ac:dyDescent="0.2">
      <c r="A25" s="24">
        <v>10</v>
      </c>
      <c r="B25" s="22" t="s">
        <v>21</v>
      </c>
      <c r="C25" s="4" t="s">
        <v>37</v>
      </c>
      <c r="D25" s="5">
        <v>-45</v>
      </c>
      <c r="E25" s="6" t="s">
        <v>5</v>
      </c>
      <c r="F25" s="4" t="s">
        <v>49</v>
      </c>
      <c r="G25" s="5">
        <v>75</v>
      </c>
      <c r="H25" s="6" t="s">
        <v>7</v>
      </c>
      <c r="I25" s="4"/>
      <c r="J25" s="5"/>
      <c r="K25" s="24" t="str">
        <f>IF(COUNT(D25:D26,G25:G26,J25:J26)=0,"",IF(SUM(D25:D26)-SUM(G25:G26)-SUM(J25:J26)=0,"✔","✗"))</f>
        <v>✔</v>
      </c>
    </row>
    <row r="26" spans="1:11" x14ac:dyDescent="0.2">
      <c r="A26" s="23"/>
      <c r="B26" s="23"/>
      <c r="C26" s="4" t="s">
        <v>41</v>
      </c>
      <c r="D26" s="5">
        <v>120</v>
      </c>
      <c r="E26" s="6" t="s">
        <v>5</v>
      </c>
      <c r="F26" s="4"/>
      <c r="G26" s="5"/>
      <c r="H26" s="6" t="s">
        <v>7</v>
      </c>
      <c r="I26" s="4"/>
      <c r="J26" s="5"/>
      <c r="K26" s="23"/>
    </row>
    <row r="27" spans="1:11" x14ac:dyDescent="0.2">
      <c r="A27" s="24">
        <v>11</v>
      </c>
      <c r="B27" s="22" t="s">
        <v>22</v>
      </c>
      <c r="C27" s="4" t="s">
        <v>37</v>
      </c>
      <c r="D27" s="5">
        <v>-20</v>
      </c>
      <c r="E27" s="6" t="s">
        <v>5</v>
      </c>
      <c r="F27" s="4" t="s">
        <v>48</v>
      </c>
      <c r="G27" s="5">
        <v>-20</v>
      </c>
      <c r="H27" s="6" t="s">
        <v>7</v>
      </c>
      <c r="I27" s="4"/>
      <c r="J27" s="5"/>
      <c r="K27" s="24" t="str">
        <f>IF(COUNT(D27:D28,G27:G28,J27:J28)=0,"",IF(SUM(D27:D28)-SUM(G27:G28)-SUM(J27:J28)=0,"✔","✗"))</f>
        <v>✔</v>
      </c>
    </row>
    <row r="28" spans="1:11" x14ac:dyDescent="0.2">
      <c r="A28" s="23"/>
      <c r="B28" s="23"/>
      <c r="C28" s="4"/>
      <c r="D28" s="5"/>
      <c r="E28" s="6" t="s">
        <v>5</v>
      </c>
      <c r="F28" s="4"/>
      <c r="G28" s="5"/>
      <c r="H28" s="6" t="s">
        <v>7</v>
      </c>
      <c r="I28" s="4"/>
      <c r="J28" s="5"/>
      <c r="K28" s="23"/>
    </row>
    <row r="29" spans="1:11" x14ac:dyDescent="0.2">
      <c r="A29" s="24">
        <v>12</v>
      </c>
      <c r="B29" s="22" t="s">
        <v>23</v>
      </c>
      <c r="C29" s="4" t="s">
        <v>37</v>
      </c>
      <c r="D29" s="5">
        <v>-25</v>
      </c>
      <c r="E29" s="6" t="s">
        <v>5</v>
      </c>
      <c r="F29" s="4"/>
      <c r="G29" s="5"/>
      <c r="H29" s="6" t="s">
        <v>7</v>
      </c>
      <c r="I29" s="4" t="s">
        <v>54</v>
      </c>
      <c r="J29" s="5">
        <v>-25</v>
      </c>
      <c r="K29" s="24" t="str">
        <f>IF(COUNT(D29:D30,G29:G30,J29:J30)=0,"",IF(SUM(D29:D30)-SUM(G29:G30)-SUM(J29:J30)=0,"✔","✗"))</f>
        <v>✔</v>
      </c>
    </row>
    <row r="30" spans="1:11" x14ac:dyDescent="0.2">
      <c r="A30" s="23"/>
      <c r="B30" s="23"/>
      <c r="C30" s="4"/>
      <c r="D30" s="5"/>
      <c r="E30" s="6" t="s">
        <v>5</v>
      </c>
      <c r="F30" s="4"/>
      <c r="G30" s="5"/>
      <c r="H30" s="6" t="s">
        <v>7</v>
      </c>
      <c r="I30" s="4"/>
      <c r="J30" s="5"/>
      <c r="K30" s="23"/>
    </row>
  </sheetData>
  <mergeCells count="40">
    <mergeCell ref="K29:K30"/>
    <mergeCell ref="B21:B22"/>
    <mergeCell ref="A11:A12"/>
    <mergeCell ref="A1:D1"/>
    <mergeCell ref="B9:B10"/>
    <mergeCell ref="A17:A18"/>
    <mergeCell ref="K17:K18"/>
    <mergeCell ref="A13:A14"/>
    <mergeCell ref="B6:B8"/>
    <mergeCell ref="K13:K14"/>
    <mergeCell ref="A6:A8"/>
    <mergeCell ref="I4:J4"/>
    <mergeCell ref="K9:K10"/>
    <mergeCell ref="A9:A10"/>
    <mergeCell ref="A15:A16"/>
    <mergeCell ref="K15:K16"/>
    <mergeCell ref="B29:B30"/>
    <mergeCell ref="C4:D4"/>
    <mergeCell ref="B23:B24"/>
    <mergeCell ref="A27:A28"/>
    <mergeCell ref="K6:K8"/>
    <mergeCell ref="K11:K12"/>
    <mergeCell ref="K27:K28"/>
    <mergeCell ref="B13:B14"/>
    <mergeCell ref="A25:A26"/>
    <mergeCell ref="B19:B20"/>
    <mergeCell ref="B15:B16"/>
    <mergeCell ref="A21:A22"/>
    <mergeCell ref="K23:K24"/>
    <mergeCell ref="A29:A30"/>
    <mergeCell ref="A23:A24"/>
    <mergeCell ref="A19:A20"/>
    <mergeCell ref="F4:G4"/>
    <mergeCell ref="B27:B28"/>
    <mergeCell ref="K21:K22"/>
    <mergeCell ref="B17:B18"/>
    <mergeCell ref="B11:B12"/>
    <mergeCell ref="K19:K20"/>
    <mergeCell ref="K25:K26"/>
    <mergeCell ref="B25:B26"/>
  </mergeCells>
  <dataValidations count="3">
    <dataValidation type="list" allowBlank="1" sqref="C6 C7 C8 C9 C10 C11 C12 C13 C14 C15 C16 C17 C18 C19 C20 C21 C22 C23 C24 C25 C26 C27 C28 C29 C30" xr:uid="{00000000-0002-0000-0000-000000000000}">
      <formula1>"Caixa,Contas a Receber,Estoques,Imobilizado,(-) Depreciação Acumulada"</formula1>
    </dataValidation>
    <dataValidation type="list" allowBlank="1" sqref="F6 F7 F8 F9 F10 F11 F12 F13 F14 F15 F16 F17 F18 F19 F20 F21 F22 F23 F24 F25 F26 F27 F28 F29 F30" xr:uid="{00000000-0002-0000-0000-000001000000}">
      <formula1>"Fornecedores,Adiantamentos de Clientes,IR a Pagar,Empréstimos,Financiamento a Pagar (LP)"</formula1>
    </dataValidation>
    <dataValidation type="list" allowBlank="1" sqref="I6 I7 I8 I9 I10 I11 I12 I13 I14 I15 I16 I17 I18 I19 I20 I21 I22 I23 I24 I25 I26 I27 I28 I29 I30" xr:uid="{00000000-0002-0000-0000-000002000000}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zoomScale="116" workbookViewId="0">
      <pane xSplit="2" ySplit="5" topLeftCell="C6" activePane="bottomRight" state="frozen"/>
      <selection pane="topRight"/>
      <selection pane="bottomLeft"/>
      <selection pane="bottomRight" activeCell="F26" sqref="F26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24" customWidth="1"/>
    <col min="4" max="4" width="13" customWidth="1"/>
    <col min="5" max="5" width="3" customWidth="1"/>
    <col min="6" max="6" width="24" customWidth="1"/>
    <col min="7" max="7" width="13" customWidth="1"/>
    <col min="8" max="8" width="3" customWidth="1"/>
    <col min="9" max="9" width="20" customWidth="1"/>
    <col min="10" max="10" width="13" customWidth="1"/>
    <col min="11" max="11" width="8" customWidth="1"/>
  </cols>
  <sheetData>
    <row r="1" spans="1:11" x14ac:dyDescent="0.2">
      <c r="A1" s="25" t="s">
        <v>0</v>
      </c>
      <c r="B1" s="23"/>
      <c r="C1" s="23"/>
      <c r="D1" s="23"/>
    </row>
    <row r="2" spans="1:11" x14ac:dyDescent="0.2">
      <c r="A2" s="1" t="s">
        <v>1</v>
      </c>
    </row>
    <row r="4" spans="1:11" x14ac:dyDescent="0.2">
      <c r="A4" s="2" t="s">
        <v>2</v>
      </c>
      <c r="B4" s="2" t="s">
        <v>3</v>
      </c>
      <c r="C4" s="20" t="s">
        <v>4</v>
      </c>
      <c r="D4" s="21"/>
      <c r="E4" s="2" t="s">
        <v>5</v>
      </c>
      <c r="F4" s="20" t="s">
        <v>6</v>
      </c>
      <c r="G4" s="21"/>
      <c r="H4" s="2" t="s">
        <v>7</v>
      </c>
      <c r="I4" s="20" t="s">
        <v>8</v>
      </c>
      <c r="J4" s="21"/>
      <c r="K4" s="2" t="s">
        <v>9</v>
      </c>
    </row>
    <row r="5" spans="1:11" x14ac:dyDescent="0.2">
      <c r="C5" s="3" t="s">
        <v>10</v>
      </c>
      <c r="D5" s="3" t="s">
        <v>11</v>
      </c>
      <c r="F5" s="3" t="s">
        <v>10</v>
      </c>
      <c r="G5" s="3" t="s">
        <v>11</v>
      </c>
      <c r="I5" s="3" t="s">
        <v>10</v>
      </c>
      <c r="J5" s="3" t="s">
        <v>11</v>
      </c>
    </row>
    <row r="6" spans="1:11" x14ac:dyDescent="0.2">
      <c r="A6" s="24">
        <v>1</v>
      </c>
      <c r="B6" s="22" t="s">
        <v>12</v>
      </c>
      <c r="C6" s="4" t="s">
        <v>37</v>
      </c>
      <c r="D6" s="5">
        <v>380</v>
      </c>
      <c r="E6" s="6" t="s">
        <v>5</v>
      </c>
      <c r="F6" s="4"/>
      <c r="G6" s="5"/>
      <c r="H6" s="6" t="s">
        <v>7</v>
      </c>
      <c r="I6" s="4" t="s">
        <v>54</v>
      </c>
      <c r="J6" s="5">
        <v>220</v>
      </c>
      <c r="K6" s="24" t="str">
        <f>IF(COUNT(D6:D8,G6:G8,J6:J8)=0,"",IF(SUM(D6:D8)-SUM(G6:G8)-SUM(J6:J8)=0,"✔","✗"))</f>
        <v>✔</v>
      </c>
    </row>
    <row r="7" spans="1:11" x14ac:dyDescent="0.2">
      <c r="A7" s="23"/>
      <c r="B7" s="23"/>
      <c r="C7" s="4" t="s">
        <v>38</v>
      </c>
      <c r="D7" s="5">
        <v>140</v>
      </c>
      <c r="E7" s="6" t="s">
        <v>5</v>
      </c>
      <c r="F7" s="4"/>
      <c r="G7" s="5"/>
      <c r="H7" s="6" t="s">
        <v>7</v>
      </c>
      <c r="I7" s="4"/>
      <c r="J7" s="5"/>
      <c r="K7" s="23"/>
    </row>
    <row r="8" spans="1:11" x14ac:dyDescent="0.2">
      <c r="A8" s="23"/>
      <c r="B8" s="23"/>
      <c r="C8" s="4" t="s">
        <v>39</v>
      </c>
      <c r="D8" s="5">
        <v>-300</v>
      </c>
      <c r="E8" s="6" t="s">
        <v>5</v>
      </c>
      <c r="F8" s="4"/>
      <c r="G8" s="5"/>
      <c r="H8" s="6" t="s">
        <v>7</v>
      </c>
      <c r="I8" s="4"/>
      <c r="J8" s="5"/>
      <c r="K8" s="23"/>
    </row>
    <row r="9" spans="1:11" x14ac:dyDescent="0.2">
      <c r="A9" s="24">
        <v>2</v>
      </c>
      <c r="B9" s="22" t="s">
        <v>13</v>
      </c>
      <c r="C9" s="4" t="s">
        <v>39</v>
      </c>
      <c r="D9" s="5">
        <v>330</v>
      </c>
      <c r="E9" s="6" t="s">
        <v>5</v>
      </c>
      <c r="F9" s="4" t="s">
        <v>46</v>
      </c>
      <c r="G9" s="5">
        <v>330</v>
      </c>
      <c r="H9" s="6" t="s">
        <v>7</v>
      </c>
      <c r="I9" s="4"/>
      <c r="J9" s="5"/>
      <c r="K9" s="24" t="str">
        <f>IF(COUNT(D9:D10,G9:G10,J9:J10)=0,"",IF(SUM(D9:D10)-SUM(G9:G10)-SUM(J9:J10)=0,"✔","✗"))</f>
        <v>✔</v>
      </c>
    </row>
    <row r="10" spans="1:11" x14ac:dyDescent="0.2">
      <c r="A10" s="23"/>
      <c r="B10" s="23"/>
      <c r="C10" s="4"/>
      <c r="D10" s="5"/>
      <c r="E10" s="6" t="s">
        <v>5</v>
      </c>
      <c r="F10" s="4"/>
      <c r="G10" s="5"/>
      <c r="H10" s="6" t="s">
        <v>7</v>
      </c>
      <c r="I10" s="4"/>
      <c r="J10" s="5"/>
      <c r="K10" s="23"/>
    </row>
    <row r="11" spans="1:11" x14ac:dyDescent="0.2">
      <c r="A11" s="24">
        <v>3</v>
      </c>
      <c r="B11" s="22" t="s">
        <v>14</v>
      </c>
      <c r="C11" s="4" t="s">
        <v>37</v>
      </c>
      <c r="D11" s="5">
        <v>95</v>
      </c>
      <c r="E11" s="6" t="s">
        <v>5</v>
      </c>
      <c r="F11" s="4"/>
      <c r="G11" s="5"/>
      <c r="H11" s="6" t="s">
        <v>7</v>
      </c>
      <c r="I11" s="4"/>
      <c r="J11" s="5"/>
      <c r="K11" s="24" t="str">
        <f>IF(COUNT(D11:D12,G11:G12,J11:J12)=0,"",IF(SUM(D11:D12)-SUM(G11:G12)-SUM(J11:J12)=0,"✔","✗"))</f>
        <v>✔</v>
      </c>
    </row>
    <row r="12" spans="1:11" x14ac:dyDescent="0.2">
      <c r="A12" s="23"/>
      <c r="B12" s="23"/>
      <c r="C12" s="4" t="s">
        <v>38</v>
      </c>
      <c r="D12" s="5">
        <v>-95</v>
      </c>
      <c r="E12" s="6" t="s">
        <v>5</v>
      </c>
      <c r="F12" s="4"/>
      <c r="G12" s="5"/>
      <c r="H12" s="6" t="s">
        <v>7</v>
      </c>
      <c r="I12" s="4"/>
      <c r="J12" s="5"/>
      <c r="K12" s="23"/>
    </row>
    <row r="13" spans="1:11" x14ac:dyDescent="0.2">
      <c r="A13" s="24">
        <v>4</v>
      </c>
      <c r="B13" s="22" t="s">
        <v>15</v>
      </c>
      <c r="C13" s="4" t="s">
        <v>37</v>
      </c>
      <c r="D13" s="5">
        <v>-310</v>
      </c>
      <c r="E13" s="6" t="s">
        <v>5</v>
      </c>
      <c r="F13" s="4" t="s">
        <v>46</v>
      </c>
      <c r="G13" s="5">
        <v>-310</v>
      </c>
      <c r="H13" s="6" t="s">
        <v>7</v>
      </c>
      <c r="I13" s="4"/>
      <c r="J13" s="5"/>
      <c r="K13" s="24" t="str">
        <f>IF(COUNT(D13:D14,G13:G14,J13:J14)=0,"",IF(SUM(D13:D14)-SUM(G13:G14)-SUM(J13:J14)=0,"✔","✗"))</f>
        <v>✔</v>
      </c>
    </row>
    <row r="14" spans="1:11" x14ac:dyDescent="0.2">
      <c r="A14" s="23"/>
      <c r="B14" s="23"/>
      <c r="C14" s="4"/>
      <c r="D14" s="5"/>
      <c r="E14" s="6" t="s">
        <v>5</v>
      </c>
      <c r="F14" s="4"/>
      <c r="G14" s="5"/>
      <c r="H14" s="6" t="s">
        <v>7</v>
      </c>
      <c r="I14" s="4"/>
      <c r="J14" s="5"/>
      <c r="K14" s="23"/>
    </row>
    <row r="15" spans="1:11" x14ac:dyDescent="0.2">
      <c r="A15" s="24">
        <v>5</v>
      </c>
      <c r="B15" s="22" t="s">
        <v>16</v>
      </c>
      <c r="C15" s="4" t="s">
        <v>37</v>
      </c>
      <c r="D15" s="5">
        <v>25</v>
      </c>
      <c r="E15" s="6" t="s">
        <v>5</v>
      </c>
      <c r="F15" s="4" t="s">
        <v>47</v>
      </c>
      <c r="G15" s="5">
        <v>25</v>
      </c>
      <c r="H15" s="6" t="s">
        <v>7</v>
      </c>
      <c r="I15" s="4"/>
      <c r="J15" s="5"/>
      <c r="K15" s="24" t="str">
        <f>IF(COUNT(D15:D16,G15:G16,J15:J16)=0,"",IF(SUM(D15:D16)-SUM(G15:G16)-SUM(J15:J16)=0,"✔","✗"))</f>
        <v>✔</v>
      </c>
    </row>
    <row r="16" spans="1:11" x14ac:dyDescent="0.2">
      <c r="A16" s="23"/>
      <c r="B16" s="23"/>
      <c r="C16" s="4"/>
      <c r="D16" s="5"/>
      <c r="E16" s="6" t="s">
        <v>5</v>
      </c>
      <c r="F16" s="4"/>
      <c r="G16" s="5"/>
      <c r="H16" s="6" t="s">
        <v>7</v>
      </c>
      <c r="I16" s="4"/>
      <c r="J16" s="5"/>
      <c r="K16" s="23"/>
    </row>
    <row r="17" spans="1:11" x14ac:dyDescent="0.2">
      <c r="A17" s="24">
        <v>6</v>
      </c>
      <c r="B17" s="22" t="s">
        <v>17</v>
      </c>
      <c r="C17" s="4" t="s">
        <v>37</v>
      </c>
      <c r="D17" s="5">
        <v>-90</v>
      </c>
      <c r="E17" s="6" t="s">
        <v>5</v>
      </c>
      <c r="F17" s="4"/>
      <c r="G17" s="5"/>
      <c r="H17" s="6" t="s">
        <v>7</v>
      </c>
      <c r="I17" s="4" t="s">
        <v>54</v>
      </c>
      <c r="J17" s="5">
        <v>-90</v>
      </c>
      <c r="K17" s="24" t="str">
        <f>IF(COUNT(D17:D18,G17:G18,J17:J18)=0,"",IF(SUM(D17:D18)-SUM(G17:G18)-SUM(J17:J18)=0,"✔","✗"))</f>
        <v>✔</v>
      </c>
    </row>
    <row r="18" spans="1:11" x14ac:dyDescent="0.2">
      <c r="A18" s="23"/>
      <c r="B18" s="23"/>
      <c r="C18" s="4"/>
      <c r="D18" s="5"/>
      <c r="E18" s="6" t="s">
        <v>5</v>
      </c>
      <c r="F18" s="4"/>
      <c r="G18" s="5"/>
      <c r="H18" s="6" t="s">
        <v>7</v>
      </c>
      <c r="I18" s="4"/>
      <c r="J18" s="5"/>
      <c r="K18" s="23"/>
    </row>
    <row r="19" spans="1:11" x14ac:dyDescent="0.2">
      <c r="A19" s="24">
        <v>7</v>
      </c>
      <c r="B19" s="22" t="s">
        <v>18</v>
      </c>
      <c r="C19" s="4" t="s">
        <v>42</v>
      </c>
      <c r="D19" s="5">
        <v>-30</v>
      </c>
      <c r="E19" s="6" t="s">
        <v>5</v>
      </c>
      <c r="F19" s="4"/>
      <c r="G19" s="5"/>
      <c r="H19" s="6" t="s">
        <v>7</v>
      </c>
      <c r="I19" s="4" t="s">
        <v>54</v>
      </c>
      <c r="J19" s="5">
        <v>-30</v>
      </c>
      <c r="K19" s="24" t="str">
        <f>IF(COUNT(D19:D20,G19:G20,J19:J20)=0,"",IF(SUM(D19:D20)-SUM(G19:G20)-SUM(J19:J20)=0,"✔","✗"))</f>
        <v>✔</v>
      </c>
    </row>
    <row r="20" spans="1:11" x14ac:dyDescent="0.2">
      <c r="A20" s="23"/>
      <c r="B20" s="23"/>
      <c r="C20" s="4"/>
      <c r="D20" s="5"/>
      <c r="E20" s="6" t="s">
        <v>5</v>
      </c>
      <c r="F20" s="4"/>
      <c r="G20" s="5"/>
      <c r="H20" s="6" t="s">
        <v>7</v>
      </c>
      <c r="I20" s="4"/>
      <c r="J20" s="5"/>
      <c r="K20" s="23"/>
    </row>
    <row r="21" spans="1:11" x14ac:dyDescent="0.2">
      <c r="A21" s="24">
        <v>8</v>
      </c>
      <c r="B21" s="22" t="s">
        <v>19</v>
      </c>
      <c r="C21" s="4" t="s">
        <v>37</v>
      </c>
      <c r="D21" s="5">
        <v>80</v>
      </c>
      <c r="E21" s="6" t="s">
        <v>5</v>
      </c>
      <c r="F21" s="4" t="s">
        <v>49</v>
      </c>
      <c r="G21" s="5">
        <v>80</v>
      </c>
      <c r="H21" s="6" t="s">
        <v>7</v>
      </c>
      <c r="I21" s="4"/>
      <c r="J21" s="5"/>
      <c r="K21" s="24" t="str">
        <f>IF(COUNT(D21:D22,G21:G22,J21:J22)=0,"",IF(SUM(D21:D22)-SUM(G21:G22)-SUM(J21:J22)=0,"✔","✗"))</f>
        <v>✔</v>
      </c>
    </row>
    <row r="22" spans="1:11" x14ac:dyDescent="0.2">
      <c r="A22" s="23"/>
      <c r="B22" s="23"/>
      <c r="C22" s="4"/>
      <c r="D22" s="5"/>
      <c r="E22" s="6" t="s">
        <v>5</v>
      </c>
      <c r="F22" s="4"/>
      <c r="G22" s="5"/>
      <c r="H22" s="6" t="s">
        <v>7</v>
      </c>
      <c r="I22" s="4"/>
      <c r="J22" s="5"/>
      <c r="K22" s="23"/>
    </row>
    <row r="23" spans="1:11" x14ac:dyDescent="0.2">
      <c r="A23" s="24">
        <v>9</v>
      </c>
      <c r="B23" s="22" t="s">
        <v>20</v>
      </c>
      <c r="C23" s="4" t="s">
        <v>37</v>
      </c>
      <c r="D23" s="5">
        <v>-60</v>
      </c>
      <c r="E23" s="6" t="s">
        <v>5</v>
      </c>
      <c r="F23" s="4" t="s">
        <v>49</v>
      </c>
      <c r="G23" s="5">
        <v>-50</v>
      </c>
      <c r="H23" s="6" t="s">
        <v>7</v>
      </c>
      <c r="I23" s="4" t="s">
        <v>54</v>
      </c>
      <c r="J23" s="5">
        <v>-10</v>
      </c>
      <c r="K23" s="24" t="str">
        <f>IF(COUNT(D23:D24,G23:G24,J23:J24)=0,"",IF(SUM(D23:D24)-SUM(G23:G24)-SUM(J23:J24)=0,"✔","✗"))</f>
        <v>✔</v>
      </c>
    </row>
    <row r="24" spans="1:11" x14ac:dyDescent="0.2">
      <c r="A24" s="23"/>
      <c r="B24" s="23"/>
      <c r="C24" s="4"/>
      <c r="D24" s="5"/>
      <c r="E24" s="6" t="s">
        <v>5</v>
      </c>
      <c r="F24" s="4"/>
      <c r="G24" s="5"/>
      <c r="H24" s="6" t="s">
        <v>7</v>
      </c>
      <c r="I24" s="4"/>
      <c r="J24" s="5"/>
      <c r="K24" s="23"/>
    </row>
    <row r="25" spans="1:11" x14ac:dyDescent="0.2">
      <c r="A25" s="24">
        <v>10</v>
      </c>
      <c r="B25" s="22" t="s">
        <v>21</v>
      </c>
      <c r="C25" s="4" t="s">
        <v>37</v>
      </c>
      <c r="D25" s="5">
        <v>-45</v>
      </c>
      <c r="E25" s="6" t="s">
        <v>5</v>
      </c>
      <c r="F25" s="4" t="s">
        <v>51</v>
      </c>
      <c r="G25" s="5">
        <v>75</v>
      </c>
      <c r="H25" s="6" t="s">
        <v>7</v>
      </c>
      <c r="I25" s="4"/>
      <c r="J25" s="5"/>
      <c r="K25" s="24" t="str">
        <f>IF(COUNT(D25:D26,G25:G26,J25:J26)=0,"",IF(SUM(D25:D26)-SUM(G25:G26)-SUM(J25:J26)=0,"✔","✗"))</f>
        <v>✔</v>
      </c>
    </row>
    <row r="26" spans="1:11" x14ac:dyDescent="0.2">
      <c r="A26" s="23"/>
      <c r="B26" s="23"/>
      <c r="C26" s="4" t="s">
        <v>41</v>
      </c>
      <c r="D26" s="5">
        <v>120</v>
      </c>
      <c r="E26" s="6" t="s">
        <v>5</v>
      </c>
      <c r="F26" s="4"/>
      <c r="G26" s="5"/>
      <c r="H26" s="6" t="s">
        <v>7</v>
      </c>
      <c r="I26" s="4"/>
      <c r="J26" s="5"/>
      <c r="K26" s="23"/>
    </row>
    <row r="27" spans="1:11" x14ac:dyDescent="0.2">
      <c r="A27" s="24">
        <v>11</v>
      </c>
      <c r="B27" s="22" t="s">
        <v>22</v>
      </c>
      <c r="C27" s="4" t="s">
        <v>37</v>
      </c>
      <c r="D27" s="5">
        <v>-20</v>
      </c>
      <c r="E27" s="6" t="s">
        <v>5</v>
      </c>
      <c r="F27" s="4" t="s">
        <v>48</v>
      </c>
      <c r="G27" s="5">
        <v>7</v>
      </c>
      <c r="H27" s="6" t="s">
        <v>7</v>
      </c>
      <c r="I27" s="4" t="s">
        <v>54</v>
      </c>
      <c r="J27" s="5">
        <v>-27</v>
      </c>
      <c r="K27" s="24" t="str">
        <f>IF(COUNT(D27:D28,G27:G28,J27:J28)=0,"",IF(SUM(D27:D28)-SUM(G27:G28)-SUM(J27:J28)=0,"✔","✗"))</f>
        <v>✔</v>
      </c>
    </row>
    <row r="28" spans="1:11" x14ac:dyDescent="0.2">
      <c r="A28" s="23"/>
      <c r="B28" s="23"/>
      <c r="C28" s="4"/>
      <c r="D28" s="5"/>
      <c r="E28" s="6" t="s">
        <v>5</v>
      </c>
      <c r="F28" s="4"/>
      <c r="G28" s="5"/>
      <c r="H28" s="6" t="s">
        <v>7</v>
      </c>
      <c r="I28" s="4"/>
      <c r="J28" s="5"/>
      <c r="K28" s="23"/>
    </row>
    <row r="29" spans="1:11" x14ac:dyDescent="0.2">
      <c r="A29" s="24">
        <v>12</v>
      </c>
      <c r="B29" s="22" t="s">
        <v>23</v>
      </c>
      <c r="C29" s="4" t="s">
        <v>37</v>
      </c>
      <c r="D29" s="5">
        <v>-25</v>
      </c>
      <c r="E29" s="6" t="s">
        <v>5</v>
      </c>
      <c r="F29" s="4"/>
      <c r="G29" s="5"/>
      <c r="H29" s="6" t="s">
        <v>7</v>
      </c>
      <c r="I29" s="4" t="s">
        <v>54</v>
      </c>
      <c r="J29" s="5">
        <v>-25</v>
      </c>
      <c r="K29" s="24" t="str">
        <f>IF(COUNT(D29:D30,G29:G30,J29:J30)=0,"",IF(SUM(D29:D30)-SUM(G29:G30)-SUM(J29:J30)=0,"✔","✗"))</f>
        <v>✔</v>
      </c>
    </row>
    <row r="30" spans="1:11" x14ac:dyDescent="0.2">
      <c r="A30" s="23"/>
      <c r="B30" s="23"/>
      <c r="C30" s="4"/>
      <c r="D30" s="5"/>
      <c r="E30" s="6" t="s">
        <v>5</v>
      </c>
      <c r="F30" s="4"/>
      <c r="G30" s="5"/>
      <c r="H30" s="6" t="s">
        <v>7</v>
      </c>
      <c r="I30" s="4"/>
      <c r="J30" s="5"/>
      <c r="K30" s="23"/>
    </row>
  </sheetData>
  <mergeCells count="40">
    <mergeCell ref="K29:K30"/>
    <mergeCell ref="B21:B22"/>
    <mergeCell ref="A11:A12"/>
    <mergeCell ref="A1:D1"/>
    <mergeCell ref="B9:B10"/>
    <mergeCell ref="A17:A18"/>
    <mergeCell ref="K17:K18"/>
    <mergeCell ref="A13:A14"/>
    <mergeCell ref="B6:B8"/>
    <mergeCell ref="K13:K14"/>
    <mergeCell ref="A6:A8"/>
    <mergeCell ref="I4:J4"/>
    <mergeCell ref="K9:K10"/>
    <mergeCell ref="A9:A10"/>
    <mergeCell ref="A15:A16"/>
    <mergeCell ref="K15:K16"/>
    <mergeCell ref="B29:B30"/>
    <mergeCell ref="C4:D4"/>
    <mergeCell ref="B23:B24"/>
    <mergeCell ref="A27:A28"/>
    <mergeCell ref="K6:K8"/>
    <mergeCell ref="K11:K12"/>
    <mergeCell ref="K27:K28"/>
    <mergeCell ref="B13:B14"/>
    <mergeCell ref="A25:A26"/>
    <mergeCell ref="B19:B20"/>
    <mergeCell ref="B15:B16"/>
    <mergeCell ref="A21:A22"/>
    <mergeCell ref="K23:K24"/>
    <mergeCell ref="A29:A30"/>
    <mergeCell ref="A23:A24"/>
    <mergeCell ref="A19:A20"/>
    <mergeCell ref="F4:G4"/>
    <mergeCell ref="B27:B28"/>
    <mergeCell ref="K21:K22"/>
    <mergeCell ref="B17:B18"/>
    <mergeCell ref="B11:B12"/>
    <mergeCell ref="K19:K20"/>
    <mergeCell ref="K25:K26"/>
    <mergeCell ref="B25:B26"/>
  </mergeCells>
  <dataValidations count="3">
    <dataValidation type="list" allowBlank="1" sqref="C6 C7 C8 C9 C10 C11 C12 C13 C14 C15 C16 C17 C18 C19 C20 C21 C22 C23 C24 C25 C26 C27 C28 C29 C30" xr:uid="{00000000-0002-0000-0300-000000000000}">
      <formula1>"Caixa,Contas a Receber,Estoques,Imobilizado,(-) Depreciação Acumulada"</formula1>
    </dataValidation>
    <dataValidation type="list" allowBlank="1" sqref="F6 F7 F8 F9 F10 F11 F12 F13 F14 F15 F16 F17 F18 F19 F20 F21 F22 F23 F24 F25 F26 F27 F28 F29 F30" xr:uid="{00000000-0002-0000-0300-000001000000}">
      <formula1>"Fornecedores,Adiantamentos de Clientes,IR a Pagar,Empréstimos,Financiamento a Pagar (LP)"</formula1>
    </dataValidation>
    <dataValidation type="list" allowBlank="1" sqref="I6 I7 I8 I9 I10 I11 I12 I13 I14 I15 I16 I17 I18 I19 I20 I21 I22 I23 I24 I25 I26 I27 I28 I29 I30" xr:uid="{00000000-0002-0000-0300-000002000000}">
      <formula1>"Capital Social,Lucros Acumulados"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6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K25" sqref="K25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16" width="13" customWidth="1"/>
    <col min="17" max="17" width="3" customWidth="1"/>
    <col min="18" max="18" width="13" customWidth="1"/>
  </cols>
  <sheetData>
    <row r="1" spans="2:18" x14ac:dyDescent="0.2">
      <c r="B1" s="25" t="s">
        <v>24</v>
      </c>
      <c r="C1" s="23"/>
      <c r="D1" s="7" t="s">
        <v>25</v>
      </c>
    </row>
    <row r="2" spans="2:18" ht="42" customHeight="1" x14ac:dyDescent="0.2">
      <c r="B2" s="1" t="s">
        <v>26</v>
      </c>
      <c r="D2" s="8" t="s">
        <v>27</v>
      </c>
      <c r="E2" s="8" t="s">
        <v>13</v>
      </c>
      <c r="F2" s="8" t="s">
        <v>28</v>
      </c>
      <c r="G2" s="8" t="s">
        <v>15</v>
      </c>
      <c r="H2" s="8" t="s">
        <v>29</v>
      </c>
      <c r="I2" s="8" t="s">
        <v>17</v>
      </c>
      <c r="J2" s="8" t="s">
        <v>18</v>
      </c>
      <c r="K2" s="8" t="s">
        <v>19</v>
      </c>
      <c r="L2" s="8" t="s">
        <v>30</v>
      </c>
      <c r="M2" s="8" t="s">
        <v>31</v>
      </c>
      <c r="N2" s="8" t="s">
        <v>32</v>
      </c>
      <c r="O2" s="8" t="s">
        <v>23</v>
      </c>
    </row>
    <row r="3" spans="2:18" x14ac:dyDescent="0.2">
      <c r="B3" s="9" t="s">
        <v>33</v>
      </c>
      <c r="C3" s="9" t="s">
        <v>34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9" t="s">
        <v>35</v>
      </c>
    </row>
    <row r="4" spans="2:18" x14ac:dyDescent="0.2">
      <c r="B4" s="10" t="s">
        <v>4</v>
      </c>
    </row>
    <row r="5" spans="2:18" x14ac:dyDescent="0.2">
      <c r="B5" s="11" t="s">
        <v>36</v>
      </c>
    </row>
    <row r="6" spans="2:18" x14ac:dyDescent="0.2">
      <c r="B6" t="s">
        <v>37</v>
      </c>
      <c r="C6" s="12">
        <v>40</v>
      </c>
      <c r="D6" s="5">
        <v>380</v>
      </c>
      <c r="E6" s="5"/>
      <c r="F6" s="5">
        <v>95</v>
      </c>
      <c r="G6" s="5">
        <v>-310</v>
      </c>
      <c r="H6" s="5">
        <v>25</v>
      </c>
      <c r="I6" s="5">
        <v>-90</v>
      </c>
      <c r="J6" s="5"/>
      <c r="K6" s="5">
        <v>80</v>
      </c>
      <c r="L6" s="5">
        <v>-60</v>
      </c>
      <c r="M6" s="5">
        <v>-45</v>
      </c>
      <c r="N6" s="5">
        <v>-20</v>
      </c>
      <c r="O6" s="5">
        <v>-25</v>
      </c>
      <c r="P6" s="13">
        <f>C6+SUM(D6:O6)</f>
        <v>70</v>
      </c>
      <c r="R6" s="14" t="str">
        <f>IF(COUNT(D6:O6)=0,"",IF(ABS(P6-Gabarito!P6)&lt;0.5,"✔","✗"))</f>
        <v>✔</v>
      </c>
    </row>
    <row r="7" spans="2:18" x14ac:dyDescent="0.2">
      <c r="B7" t="s">
        <v>38</v>
      </c>
      <c r="C7" s="12">
        <v>60</v>
      </c>
      <c r="D7" s="5">
        <v>140</v>
      </c>
      <c r="E7" s="5"/>
      <c r="F7" s="5">
        <v>-95</v>
      </c>
      <c r="G7" s="5"/>
      <c r="H7" s="5"/>
      <c r="I7" s="5"/>
      <c r="J7" s="5"/>
      <c r="K7" s="5"/>
      <c r="L7" s="5"/>
      <c r="M7" s="5"/>
      <c r="N7" s="5"/>
      <c r="O7" s="5"/>
      <c r="P7" s="13">
        <f>C7+SUM(D7:O7)</f>
        <v>105</v>
      </c>
      <c r="R7" s="14" t="str">
        <f>IF(COUNT(D7:O7)=0,"",IF(ABS(P7-Gabarito!P7)&lt;0.5,"✔","✗"))</f>
        <v>✔</v>
      </c>
    </row>
    <row r="8" spans="2:18" x14ac:dyDescent="0.2">
      <c r="B8" t="s">
        <v>39</v>
      </c>
      <c r="C8" s="12">
        <v>90</v>
      </c>
      <c r="D8" s="5">
        <v>-300</v>
      </c>
      <c r="E8" s="5">
        <v>330</v>
      </c>
      <c r="F8" s="5"/>
      <c r="G8" s="5"/>
      <c r="H8" s="5"/>
      <c r="I8" s="5"/>
      <c r="J8" s="5"/>
      <c r="K8" s="5"/>
      <c r="L8" s="5"/>
      <c r="M8" s="5"/>
      <c r="N8" s="5"/>
      <c r="O8" s="5"/>
      <c r="P8" s="13">
        <f>C8+SUM(D8:O8)</f>
        <v>120</v>
      </c>
      <c r="R8" s="14" t="str">
        <f>IF(COUNT(D8:O8)=0,"",IF(ABS(P8-Gabarito!P8)&lt;0.5,"✔","✗"))</f>
        <v>✔</v>
      </c>
    </row>
    <row r="9" spans="2:18" x14ac:dyDescent="0.2">
      <c r="B9" s="11" t="s">
        <v>40</v>
      </c>
    </row>
    <row r="10" spans="2:18" x14ac:dyDescent="0.2">
      <c r="B10" t="s">
        <v>41</v>
      </c>
      <c r="C10" s="12">
        <v>300</v>
      </c>
      <c r="D10" s="5"/>
      <c r="E10" s="5"/>
      <c r="F10" s="5"/>
      <c r="G10" s="5"/>
      <c r="H10" s="5"/>
      <c r="I10" s="5"/>
      <c r="J10" s="5"/>
      <c r="K10" s="5"/>
      <c r="L10" s="5"/>
      <c r="M10" s="5">
        <v>120</v>
      </c>
      <c r="N10" s="5"/>
      <c r="O10" s="5"/>
      <c r="P10" s="13">
        <f>C10+SUM(D10:O10)</f>
        <v>420</v>
      </c>
      <c r="R10" s="14" t="str">
        <f>IF(COUNT(D10:O10)=0,"",IF(ABS(P10-Gabarito!P10)&lt;0.5,"✔","✗"))</f>
        <v>✔</v>
      </c>
    </row>
    <row r="11" spans="2:18" x14ac:dyDescent="0.2">
      <c r="B11" t="s">
        <v>42</v>
      </c>
      <c r="C11" s="12">
        <v>-60</v>
      </c>
      <c r="D11" s="5"/>
      <c r="E11" s="5"/>
      <c r="F11" s="5"/>
      <c r="G11" s="5"/>
      <c r="H11" s="5"/>
      <c r="I11" s="5"/>
      <c r="J11" s="5">
        <v>-30</v>
      </c>
      <c r="K11" s="5"/>
      <c r="L11" s="5"/>
      <c r="M11" s="5"/>
      <c r="N11" s="5"/>
      <c r="O11" s="5"/>
      <c r="P11" s="13">
        <f>C11+SUM(D11:O11)</f>
        <v>-90</v>
      </c>
      <c r="R11" s="14" t="str">
        <f>IF(COUNT(D11:O11)=0,"",IF(ABS(P11-Gabarito!P11)&lt;0.5,"✔","✗"))</f>
        <v>✔</v>
      </c>
    </row>
    <row r="12" spans="2:18" x14ac:dyDescent="0.2">
      <c r="B12" s="15" t="s">
        <v>43</v>
      </c>
      <c r="C12" s="16">
        <f t="shared" ref="C12:P12" si="0">SUM(C6:C11)</f>
        <v>430</v>
      </c>
      <c r="D12" s="16">
        <f t="shared" si="0"/>
        <v>220</v>
      </c>
      <c r="E12" s="16">
        <f t="shared" si="0"/>
        <v>330</v>
      </c>
      <c r="F12" s="16">
        <f t="shared" si="0"/>
        <v>0</v>
      </c>
      <c r="G12" s="16">
        <f t="shared" si="0"/>
        <v>-310</v>
      </c>
      <c r="H12" s="16">
        <f t="shared" si="0"/>
        <v>25</v>
      </c>
      <c r="I12" s="16">
        <f t="shared" si="0"/>
        <v>-90</v>
      </c>
      <c r="J12" s="16">
        <f t="shared" si="0"/>
        <v>-30</v>
      </c>
      <c r="K12" s="16">
        <f t="shared" si="0"/>
        <v>80</v>
      </c>
      <c r="L12" s="16">
        <f t="shared" si="0"/>
        <v>-60</v>
      </c>
      <c r="M12" s="16">
        <f t="shared" si="0"/>
        <v>75</v>
      </c>
      <c r="N12" s="16">
        <f t="shared" si="0"/>
        <v>-20</v>
      </c>
      <c r="O12" s="16">
        <f t="shared" si="0"/>
        <v>-25</v>
      </c>
      <c r="P12" s="16">
        <f t="shared" si="0"/>
        <v>625</v>
      </c>
    </row>
    <row r="13" spans="2:18" x14ac:dyDescent="0.2">
      <c r="B13" s="10" t="s">
        <v>44</v>
      </c>
    </row>
    <row r="14" spans="2:18" x14ac:dyDescent="0.2">
      <c r="B14" s="11" t="s">
        <v>45</v>
      </c>
    </row>
    <row r="15" spans="2:18" x14ac:dyDescent="0.2">
      <c r="B15" t="s">
        <v>46</v>
      </c>
      <c r="C15" s="12">
        <v>70</v>
      </c>
      <c r="D15" s="5"/>
      <c r="E15" s="5">
        <v>330</v>
      </c>
      <c r="F15" s="5"/>
      <c r="G15" s="5">
        <v>-310</v>
      </c>
      <c r="H15" s="5"/>
      <c r="I15" s="5"/>
      <c r="J15" s="5"/>
      <c r="K15" s="5"/>
      <c r="L15" s="5"/>
      <c r="M15" s="5"/>
      <c r="N15" s="5"/>
      <c r="O15" s="5"/>
      <c r="P15" s="13">
        <f>C15+SUM(D15:O15)</f>
        <v>90</v>
      </c>
      <c r="R15" s="14" t="str">
        <f>IF(COUNT(D15:O15)=0,"",IF(ABS(P15-Gabarito!P15)&lt;0.5,"✔","✗"))</f>
        <v>✔</v>
      </c>
    </row>
    <row r="16" spans="2:18" x14ac:dyDescent="0.2">
      <c r="B16" t="s">
        <v>47</v>
      </c>
      <c r="C16" s="12"/>
      <c r="D16" s="5"/>
      <c r="E16" s="5"/>
      <c r="F16" s="5"/>
      <c r="G16" s="5"/>
      <c r="H16" s="5">
        <v>25</v>
      </c>
      <c r="I16" s="5"/>
      <c r="J16" s="5"/>
      <c r="K16" s="5"/>
      <c r="L16" s="5"/>
      <c r="M16" s="5"/>
      <c r="N16" s="5"/>
      <c r="O16" s="5"/>
      <c r="P16" s="13">
        <f>C16+SUM(D16:O16)</f>
        <v>25</v>
      </c>
      <c r="R16" s="14" t="str">
        <f>IF(COUNT(D16:O16)=0,"",IF(ABS(P16-Gabarito!P16)&lt;0.5,"✔","✗"))</f>
        <v>✔</v>
      </c>
    </row>
    <row r="17" spans="2:18" x14ac:dyDescent="0.2">
      <c r="B17" t="s">
        <v>48</v>
      </c>
      <c r="C17" s="12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</v>
      </c>
      <c r="O17" s="5"/>
      <c r="P17" s="13">
        <f>C17+SUM(D17:O17)</f>
        <v>7</v>
      </c>
      <c r="R17" s="14" t="str">
        <f>IF(COUNT(D17:O17)=0,"",IF(ABS(P17-Gabarito!P17)&lt;0.5,"✔","✗"))</f>
        <v>✔</v>
      </c>
    </row>
    <row r="18" spans="2:18" x14ac:dyDescent="0.2">
      <c r="B18" t="s">
        <v>49</v>
      </c>
      <c r="C18" s="12">
        <v>100</v>
      </c>
      <c r="D18" s="5"/>
      <c r="E18" s="5"/>
      <c r="F18" s="5"/>
      <c r="G18" s="5"/>
      <c r="H18" s="5"/>
      <c r="I18" s="5"/>
      <c r="J18" s="5"/>
      <c r="K18" s="5">
        <v>80</v>
      </c>
      <c r="L18" s="5">
        <v>-50</v>
      </c>
      <c r="M18" s="5"/>
      <c r="N18" s="5"/>
      <c r="O18" s="5"/>
      <c r="P18" s="13">
        <f>C18+SUM(D18:O18)</f>
        <v>130</v>
      </c>
      <c r="R18" s="14" t="str">
        <f>IF(COUNT(D18:O18)=0,"",IF(ABS(P18-Gabarito!P18)&lt;0.5,"✔","✗"))</f>
        <v>✔</v>
      </c>
    </row>
    <row r="19" spans="2:18" x14ac:dyDescent="0.2">
      <c r="B19" s="11" t="s">
        <v>50</v>
      </c>
    </row>
    <row r="20" spans="2:18" x14ac:dyDescent="0.2">
      <c r="B20" t="s">
        <v>51</v>
      </c>
      <c r="C20" s="12"/>
      <c r="D20" s="5"/>
      <c r="E20" s="5"/>
      <c r="F20" s="5"/>
      <c r="G20" s="5"/>
      <c r="H20" s="5"/>
      <c r="I20" s="5"/>
      <c r="J20" s="5"/>
      <c r="K20" s="5"/>
      <c r="L20" s="5"/>
      <c r="M20" s="5">
        <v>75</v>
      </c>
      <c r="N20" s="5"/>
      <c r="O20" s="5"/>
      <c r="P20" s="13">
        <f>C20+SUM(D20:O20)</f>
        <v>75</v>
      </c>
      <c r="R20" s="14" t="str">
        <f>IF(COUNT(D20:O20)=0,"",IF(ABS(P20-Gabarito!P20)&lt;0.5,"✔","✗"))</f>
        <v>✔</v>
      </c>
    </row>
    <row r="21" spans="2:18" x14ac:dyDescent="0.2">
      <c r="B21" s="11" t="s">
        <v>52</v>
      </c>
    </row>
    <row r="22" spans="2:18" x14ac:dyDescent="0.2">
      <c r="B22" t="s">
        <v>53</v>
      </c>
      <c r="C22" s="12">
        <v>200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3">
        <f>C22+SUM(D22:O22)</f>
        <v>200</v>
      </c>
      <c r="R22" s="14" t="str">
        <f>IF(COUNT(D22:O22)=0,"",IF(ABS(P22-Gabarito!P22)&lt;0.5,"✔","✗"))</f>
        <v/>
      </c>
    </row>
    <row r="23" spans="2:18" x14ac:dyDescent="0.2">
      <c r="B23" t="s">
        <v>54</v>
      </c>
      <c r="C23" s="12">
        <v>60</v>
      </c>
      <c r="D23" s="5">
        <v>220</v>
      </c>
      <c r="E23" s="5"/>
      <c r="F23" s="5"/>
      <c r="G23" s="5"/>
      <c r="H23" s="5"/>
      <c r="I23" s="5">
        <v>-90</v>
      </c>
      <c r="J23" s="5">
        <v>-30</v>
      </c>
      <c r="K23" s="5"/>
      <c r="L23" s="5">
        <v>-10</v>
      </c>
      <c r="M23" s="5"/>
      <c r="N23" s="5">
        <v>-27</v>
      </c>
      <c r="O23" s="5">
        <v>-25</v>
      </c>
      <c r="P23" s="13">
        <f>C23+SUM(D23:O23)</f>
        <v>98</v>
      </c>
      <c r="R23" s="14" t="str">
        <f>IF(COUNT(D23:O23)=0,"",IF(ABS(P23-Gabarito!P23)&lt;0.5,"✔","✗"))</f>
        <v>✔</v>
      </c>
    </row>
    <row r="24" spans="2:18" x14ac:dyDescent="0.2">
      <c r="B24" s="15" t="s">
        <v>55</v>
      </c>
      <c r="C24" s="16">
        <f t="shared" ref="C24:P24" si="1">SUM(C14:C23)</f>
        <v>430</v>
      </c>
      <c r="D24" s="16">
        <f t="shared" si="1"/>
        <v>220</v>
      </c>
      <c r="E24" s="16">
        <f t="shared" si="1"/>
        <v>330</v>
      </c>
      <c r="F24" s="16">
        <f t="shared" si="1"/>
        <v>0</v>
      </c>
      <c r="G24" s="16">
        <f t="shared" si="1"/>
        <v>-310</v>
      </c>
      <c r="H24" s="16">
        <f t="shared" si="1"/>
        <v>25</v>
      </c>
      <c r="I24" s="16">
        <f t="shared" si="1"/>
        <v>-90</v>
      </c>
      <c r="J24" s="16">
        <f t="shared" si="1"/>
        <v>-30</v>
      </c>
      <c r="K24" s="16">
        <f t="shared" si="1"/>
        <v>80</v>
      </c>
      <c r="L24" s="16">
        <f t="shared" si="1"/>
        <v>-60</v>
      </c>
      <c r="M24" s="16">
        <f t="shared" si="1"/>
        <v>75</v>
      </c>
      <c r="N24" s="16">
        <f t="shared" si="1"/>
        <v>-20</v>
      </c>
      <c r="O24" s="16">
        <f t="shared" si="1"/>
        <v>-25</v>
      </c>
      <c r="P24" s="16">
        <f t="shared" si="1"/>
        <v>625</v>
      </c>
    </row>
    <row r="25" spans="2:18" x14ac:dyDescent="0.2">
      <c r="K25" t="s">
        <v>91</v>
      </c>
    </row>
    <row r="26" spans="2:18" x14ac:dyDescent="0.2">
      <c r="B26" s="17" t="s">
        <v>56</v>
      </c>
      <c r="C26" s="13">
        <f t="shared" ref="C26:P26" si="2">C12-C24</f>
        <v>0</v>
      </c>
      <c r="D26" s="13">
        <f t="shared" si="2"/>
        <v>0</v>
      </c>
      <c r="E26" s="13">
        <f t="shared" si="2"/>
        <v>0</v>
      </c>
      <c r="F26" s="13">
        <f t="shared" si="2"/>
        <v>0</v>
      </c>
      <c r="G26" s="13">
        <f t="shared" si="2"/>
        <v>0</v>
      </c>
      <c r="H26" s="13">
        <f t="shared" si="2"/>
        <v>0</v>
      </c>
      <c r="I26" s="13">
        <f t="shared" si="2"/>
        <v>0</v>
      </c>
      <c r="J26" s="13">
        <f t="shared" si="2"/>
        <v>0</v>
      </c>
      <c r="K26" s="13">
        <f t="shared" si="2"/>
        <v>0</v>
      </c>
      <c r="L26" s="13">
        <f t="shared" si="2"/>
        <v>0</v>
      </c>
      <c r="M26" s="13">
        <f t="shared" si="2"/>
        <v>0</v>
      </c>
      <c r="N26" s="13">
        <f t="shared" si="2"/>
        <v>0</v>
      </c>
      <c r="O26" s="13">
        <f t="shared" si="2"/>
        <v>0</v>
      </c>
      <c r="P26" s="13">
        <f t="shared" si="2"/>
        <v>0</v>
      </c>
      <c r="R26" s="15" t="str">
        <f>IF(P26=0,"✔ fecha","✗ não fecha")</f>
        <v>✔ fecha</v>
      </c>
    </row>
    <row r="28" spans="2:18" x14ac:dyDescent="0.2">
      <c r="B28" s="9" t="s">
        <v>57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9" t="s">
        <v>58</v>
      </c>
      <c r="R28" s="18" t="s">
        <v>9</v>
      </c>
    </row>
    <row r="29" spans="2:18" x14ac:dyDescent="0.2">
      <c r="B29" t="s">
        <v>59</v>
      </c>
      <c r="D29" s="5">
        <f>D6+D7</f>
        <v>520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3">
        <f>SUM(D29:O29)</f>
        <v>520</v>
      </c>
      <c r="R29" s="14" t="str">
        <f>IF(COUNT(D29:O29)=0,"",IF(ABS(P29-Gabarito!P29)&lt;0.5,"✔","✗"))</f>
        <v>✔</v>
      </c>
    </row>
    <row r="30" spans="2:18" x14ac:dyDescent="0.2">
      <c r="B30" t="s">
        <v>60</v>
      </c>
      <c r="D30" s="5">
        <f>D8</f>
        <v>-300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3">
        <f>SUM(D30:O30)</f>
        <v>-300</v>
      </c>
      <c r="R30" s="14" t="str">
        <f>IF(COUNT(D30:O30)=0,"",IF(ABS(P30-Gabarito!P30)&lt;0.5,"✔","✗"))</f>
        <v>✔</v>
      </c>
    </row>
    <row r="31" spans="2:18" x14ac:dyDescent="0.2">
      <c r="B31" s="15" t="s">
        <v>61</v>
      </c>
      <c r="D31" s="16">
        <f>SUM(D29:D30)</f>
        <v>220</v>
      </c>
      <c r="E31" s="16">
        <f t="shared" ref="E31:P31" si="3">SUM(E29:E30)</f>
        <v>0</v>
      </c>
      <c r="F31" s="16">
        <f t="shared" si="3"/>
        <v>0</v>
      </c>
      <c r="G31" s="16">
        <f t="shared" si="3"/>
        <v>0</v>
      </c>
      <c r="H31" s="16">
        <f t="shared" si="3"/>
        <v>0</v>
      </c>
      <c r="I31" s="16">
        <f t="shared" si="3"/>
        <v>0</v>
      </c>
      <c r="J31" s="16">
        <f t="shared" si="3"/>
        <v>0</v>
      </c>
      <c r="K31" s="16">
        <f t="shared" si="3"/>
        <v>0</v>
      </c>
      <c r="L31" s="16">
        <f t="shared" si="3"/>
        <v>0</v>
      </c>
      <c r="M31" s="16">
        <f t="shared" si="3"/>
        <v>0</v>
      </c>
      <c r="N31" s="16">
        <f t="shared" si="3"/>
        <v>0</v>
      </c>
      <c r="O31" s="16">
        <f t="shared" si="3"/>
        <v>0</v>
      </c>
      <c r="P31" s="16">
        <f t="shared" si="3"/>
        <v>220</v>
      </c>
    </row>
    <row r="32" spans="2:18" x14ac:dyDescent="0.2">
      <c r="B32" t="s">
        <v>62</v>
      </c>
      <c r="D32" s="5"/>
      <c r="E32" s="5"/>
      <c r="F32" s="5"/>
      <c r="G32" s="5"/>
      <c r="H32" s="5"/>
      <c r="I32" s="5">
        <f>I23</f>
        <v>-90</v>
      </c>
      <c r="J32" s="5"/>
      <c r="K32" s="5"/>
      <c r="L32" s="5"/>
      <c r="M32" s="5"/>
      <c r="N32" s="5"/>
      <c r="O32" s="5"/>
      <c r="P32" s="13">
        <f>SUM(D32:O32)</f>
        <v>-90</v>
      </c>
      <c r="R32" s="14" t="str">
        <f>IF(COUNT(D32:O32)=0,"",IF(ABS(P32-Gabarito!P32)&lt;0.5,"✔","✗"))</f>
        <v>✔</v>
      </c>
    </row>
    <row r="33" spans="2:18" x14ac:dyDescent="0.2">
      <c r="B33" t="s">
        <v>63</v>
      </c>
      <c r="D33" s="5"/>
      <c r="E33" s="5"/>
      <c r="F33" s="5"/>
      <c r="G33" s="5"/>
      <c r="H33" s="5"/>
      <c r="I33" s="5"/>
      <c r="J33" s="5">
        <f>J11</f>
        <v>-30</v>
      </c>
      <c r="K33" s="5"/>
      <c r="L33" s="5"/>
      <c r="M33" s="5"/>
      <c r="N33" s="5"/>
      <c r="O33" s="5"/>
      <c r="P33" s="13">
        <f>SUM(D33:O33)</f>
        <v>-30</v>
      </c>
      <c r="R33" s="14" t="str">
        <f>IF(COUNT(D33:O33)=0,"",IF(ABS(P33-Gabarito!P33)&lt;0.5,"✔","✗"))</f>
        <v>✔</v>
      </c>
    </row>
    <row r="34" spans="2:18" x14ac:dyDescent="0.2">
      <c r="B34" s="15" t="s">
        <v>64</v>
      </c>
      <c r="D34" s="16">
        <f>SUM(D31:D33)</f>
        <v>220</v>
      </c>
      <c r="E34" s="16">
        <f t="shared" ref="E34:P34" si="4">SUM(E31:E33)</f>
        <v>0</v>
      </c>
      <c r="F34" s="16">
        <f t="shared" si="4"/>
        <v>0</v>
      </c>
      <c r="G34" s="16">
        <f t="shared" si="4"/>
        <v>0</v>
      </c>
      <c r="H34" s="16">
        <f t="shared" si="4"/>
        <v>0</v>
      </c>
      <c r="I34" s="16">
        <f t="shared" si="4"/>
        <v>-90</v>
      </c>
      <c r="J34" s="16">
        <f t="shared" si="4"/>
        <v>-30</v>
      </c>
      <c r="K34" s="16">
        <f t="shared" si="4"/>
        <v>0</v>
      </c>
      <c r="L34" s="16">
        <f t="shared" si="4"/>
        <v>0</v>
      </c>
      <c r="M34" s="16">
        <f t="shared" si="4"/>
        <v>0</v>
      </c>
      <c r="N34" s="16">
        <f t="shared" si="4"/>
        <v>0</v>
      </c>
      <c r="O34" s="16">
        <f t="shared" si="4"/>
        <v>0</v>
      </c>
      <c r="P34" s="16">
        <f t="shared" si="4"/>
        <v>100</v>
      </c>
    </row>
    <row r="35" spans="2:18" x14ac:dyDescent="0.2">
      <c r="B35" t="s">
        <v>65</v>
      </c>
      <c r="D35" s="5"/>
      <c r="E35" s="5"/>
      <c r="F35" s="5"/>
      <c r="G35" s="5"/>
      <c r="H35" s="5"/>
      <c r="I35" s="5"/>
      <c r="J35" s="5"/>
      <c r="K35" s="5"/>
      <c r="L35" s="5">
        <v>-10</v>
      </c>
      <c r="M35" s="5"/>
      <c r="N35" s="5"/>
      <c r="O35" s="5"/>
      <c r="P35" s="13">
        <f>SUM(D35:O35)</f>
        <v>-10</v>
      </c>
      <c r="R35" s="14" t="str">
        <f>IF(COUNT(D35:O35)=0,"",IF(ABS(P35-Gabarito!P35)&lt;0.5,"✔","✗"))</f>
        <v>✔</v>
      </c>
    </row>
    <row r="36" spans="2:18" x14ac:dyDescent="0.2">
      <c r="B36" s="15" t="s">
        <v>66</v>
      </c>
      <c r="D36" s="16">
        <f>SUM(D34:D35)</f>
        <v>220</v>
      </c>
      <c r="E36" s="16">
        <f t="shared" ref="E36:P36" si="5">SUM(E34:E35)</f>
        <v>0</v>
      </c>
      <c r="F36" s="16">
        <f t="shared" si="5"/>
        <v>0</v>
      </c>
      <c r="G36" s="16">
        <f t="shared" si="5"/>
        <v>0</v>
      </c>
      <c r="H36" s="16">
        <f t="shared" si="5"/>
        <v>0</v>
      </c>
      <c r="I36" s="16">
        <f t="shared" si="5"/>
        <v>-90</v>
      </c>
      <c r="J36" s="16">
        <f t="shared" si="5"/>
        <v>-30</v>
      </c>
      <c r="K36" s="16">
        <f t="shared" si="5"/>
        <v>0</v>
      </c>
      <c r="L36" s="16">
        <f t="shared" si="5"/>
        <v>-10</v>
      </c>
      <c r="M36" s="16">
        <f t="shared" si="5"/>
        <v>0</v>
      </c>
      <c r="N36" s="16">
        <f t="shared" si="5"/>
        <v>0</v>
      </c>
      <c r="O36" s="16">
        <f t="shared" si="5"/>
        <v>0</v>
      </c>
      <c r="P36" s="16">
        <f t="shared" si="5"/>
        <v>90</v>
      </c>
    </row>
    <row r="37" spans="2:18" x14ac:dyDescent="0.2">
      <c r="B37" t="s">
        <v>67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-27</v>
      </c>
      <c r="O37" s="5"/>
      <c r="P37" s="13">
        <f>SUM(D37:O37)</f>
        <v>-27</v>
      </c>
      <c r="R37" s="14" t="str">
        <f>IF(COUNT(D37:O37)=0,"",IF(ABS(P37-Gabarito!P37)&lt;0.5,"✔","✗"))</f>
        <v>✔</v>
      </c>
    </row>
    <row r="38" spans="2:18" x14ac:dyDescent="0.2">
      <c r="B38" s="15" t="s">
        <v>68</v>
      </c>
      <c r="D38" s="16">
        <f>SUM(D36:D37)</f>
        <v>220</v>
      </c>
      <c r="E38" s="16">
        <f t="shared" ref="E38:P38" si="6">SUM(E36:E37)</f>
        <v>0</v>
      </c>
      <c r="F38" s="16">
        <f t="shared" si="6"/>
        <v>0</v>
      </c>
      <c r="G38" s="16">
        <f t="shared" si="6"/>
        <v>0</v>
      </c>
      <c r="H38" s="16">
        <f t="shared" si="6"/>
        <v>0</v>
      </c>
      <c r="I38" s="16">
        <f t="shared" si="6"/>
        <v>-90</v>
      </c>
      <c r="J38" s="16">
        <f t="shared" si="6"/>
        <v>-30</v>
      </c>
      <c r="K38" s="16">
        <f t="shared" si="6"/>
        <v>0</v>
      </c>
      <c r="L38" s="16">
        <f t="shared" si="6"/>
        <v>-10</v>
      </c>
      <c r="M38" s="16">
        <f t="shared" si="6"/>
        <v>0</v>
      </c>
      <c r="N38" s="16">
        <f t="shared" si="6"/>
        <v>-27</v>
      </c>
      <c r="O38" s="16">
        <f t="shared" si="6"/>
        <v>0</v>
      </c>
      <c r="P38" s="16">
        <f t="shared" si="6"/>
        <v>63</v>
      </c>
    </row>
    <row r="40" spans="2:18" x14ac:dyDescent="0.2">
      <c r="B40" s="9" t="s">
        <v>69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>
        <v>6</v>
      </c>
      <c r="J40" s="2">
        <v>7</v>
      </c>
      <c r="K40" s="2">
        <v>8</v>
      </c>
      <c r="L40" s="2">
        <v>9</v>
      </c>
      <c r="M40" s="2">
        <v>10</v>
      </c>
      <c r="N40" s="2">
        <v>11</v>
      </c>
      <c r="O40" s="2">
        <v>12</v>
      </c>
      <c r="P40" s="9" t="s">
        <v>58</v>
      </c>
    </row>
    <row r="41" spans="2:18" x14ac:dyDescent="0.2">
      <c r="B41" s="15" t="s">
        <v>70</v>
      </c>
      <c r="D41" s="16">
        <f t="shared" ref="D41:P41" si="7">SUM(D42:D46)</f>
        <v>380</v>
      </c>
      <c r="E41" s="16">
        <f t="shared" si="7"/>
        <v>0</v>
      </c>
      <c r="F41" s="16">
        <f t="shared" si="7"/>
        <v>95</v>
      </c>
      <c r="G41" s="16">
        <f t="shared" si="7"/>
        <v>-310</v>
      </c>
      <c r="H41" s="16">
        <f t="shared" si="7"/>
        <v>25</v>
      </c>
      <c r="I41" s="16">
        <f t="shared" si="7"/>
        <v>-90</v>
      </c>
      <c r="J41" s="16">
        <f t="shared" si="7"/>
        <v>0</v>
      </c>
      <c r="K41" s="16">
        <f t="shared" si="7"/>
        <v>0</v>
      </c>
      <c r="L41" s="16">
        <f t="shared" si="7"/>
        <v>-10</v>
      </c>
      <c r="M41" s="16">
        <f t="shared" si="7"/>
        <v>0</v>
      </c>
      <c r="N41" s="16">
        <f t="shared" si="7"/>
        <v>-20</v>
      </c>
      <c r="O41" s="16">
        <f t="shared" si="7"/>
        <v>0</v>
      </c>
      <c r="P41" s="16">
        <f t="shared" si="7"/>
        <v>70</v>
      </c>
    </row>
    <row r="42" spans="2:18" x14ac:dyDescent="0.2">
      <c r="B42" t="s">
        <v>71</v>
      </c>
      <c r="D42" s="5">
        <f>D6</f>
        <v>380</v>
      </c>
      <c r="E42" s="5"/>
      <c r="F42" s="5">
        <f>F6</f>
        <v>95</v>
      </c>
      <c r="G42" s="5"/>
      <c r="H42" s="5">
        <f>H6</f>
        <v>25</v>
      </c>
      <c r="I42" s="5"/>
      <c r="J42" s="5"/>
      <c r="K42" s="5"/>
      <c r="L42" s="5"/>
      <c r="M42" s="5"/>
      <c r="N42" s="5"/>
      <c r="O42" s="5"/>
      <c r="P42" s="13">
        <f>SUM(D42:O42)</f>
        <v>500</v>
      </c>
      <c r="R42" s="14" t="str">
        <f>IF(COUNT(D42:O42)=0,"",IF(ABS(P42-Gabarito!P42)&lt;0.5,"✔","✗"))</f>
        <v>✔</v>
      </c>
    </row>
    <row r="43" spans="2:18" x14ac:dyDescent="0.2">
      <c r="B43" t="s">
        <v>72</v>
      </c>
      <c r="D43" s="5"/>
      <c r="E43" s="5"/>
      <c r="F43" s="5"/>
      <c r="G43" s="5">
        <f>G6</f>
        <v>-310</v>
      </c>
      <c r="H43" s="5"/>
      <c r="I43" s="5"/>
      <c r="J43" s="5"/>
      <c r="K43" s="5"/>
      <c r="L43" s="5"/>
      <c r="M43" s="5"/>
      <c r="N43" s="5"/>
      <c r="O43" s="5"/>
      <c r="P43" s="13">
        <f>SUM(D43:O43)</f>
        <v>-310</v>
      </c>
      <c r="R43" s="14" t="str">
        <f>IF(COUNT(D43:O43)=0,"",IF(ABS(P43-Gabarito!P43)&lt;0.5,"✔","✗"))</f>
        <v>✔</v>
      </c>
    </row>
    <row r="44" spans="2:18" x14ac:dyDescent="0.2">
      <c r="B44" t="s">
        <v>73</v>
      </c>
      <c r="D44" s="5"/>
      <c r="E44" s="5"/>
      <c r="F44" s="5"/>
      <c r="G44" s="5"/>
      <c r="H44" s="5"/>
      <c r="I44" s="5">
        <f>I6</f>
        <v>-90</v>
      </c>
      <c r="J44" s="5"/>
      <c r="K44" s="5"/>
      <c r="L44" s="5"/>
      <c r="M44" s="5"/>
      <c r="N44" s="5"/>
      <c r="O44" s="5"/>
      <c r="P44" s="13">
        <f>SUM(D44:O44)</f>
        <v>-90</v>
      </c>
      <c r="R44" s="14" t="str">
        <f>IF(COUNT(D44:O44)=0,"",IF(ABS(P44-Gabarito!P44)&lt;0.5,"✔","✗"))</f>
        <v>✔</v>
      </c>
    </row>
    <row r="45" spans="2:18" x14ac:dyDescent="0.2">
      <c r="B45" t="s">
        <v>74</v>
      </c>
      <c r="D45" s="5"/>
      <c r="E45" s="5"/>
      <c r="F45" s="5"/>
      <c r="G45" s="5"/>
      <c r="H45" s="5"/>
      <c r="I45" s="5"/>
      <c r="J45" s="5"/>
      <c r="K45" s="5"/>
      <c r="L45" s="5">
        <f>L23</f>
        <v>-10</v>
      </c>
      <c r="M45" s="5"/>
      <c r="N45" s="5"/>
      <c r="O45" s="5"/>
      <c r="P45" s="13">
        <f>SUM(D45:O45)</f>
        <v>-10</v>
      </c>
      <c r="R45" s="14" t="str">
        <f>IF(COUNT(D45:O45)=0,"",IF(ABS(P45-Gabarito!P45)&lt;0.5,"✔","✗"))</f>
        <v>✔</v>
      </c>
    </row>
    <row r="46" spans="2:18" x14ac:dyDescent="0.2">
      <c r="B46" t="s">
        <v>75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N6</f>
        <v>-20</v>
      </c>
      <c r="O46" s="5"/>
      <c r="P46" s="13">
        <f>SUM(D46:O46)</f>
        <v>-20</v>
      </c>
      <c r="R46" s="14" t="str">
        <f>IF(COUNT(D46:O46)=0,"",IF(ABS(P46-Gabarito!P46)&lt;0.5,"✔","✗"))</f>
        <v>✔</v>
      </c>
    </row>
    <row r="47" spans="2:18" x14ac:dyDescent="0.2">
      <c r="B47" s="15" t="s">
        <v>76</v>
      </c>
      <c r="D47" s="16">
        <f>SUM(D48:D48)</f>
        <v>0</v>
      </c>
      <c r="E47" s="16">
        <f t="shared" ref="E47:P47" si="8">SUM(E48:E48)</f>
        <v>0</v>
      </c>
      <c r="F47" s="16">
        <f t="shared" si="8"/>
        <v>0</v>
      </c>
      <c r="G47" s="16">
        <f t="shared" si="8"/>
        <v>0</v>
      </c>
      <c r="H47" s="16">
        <f t="shared" si="8"/>
        <v>0</v>
      </c>
      <c r="I47" s="16">
        <f t="shared" si="8"/>
        <v>0</v>
      </c>
      <c r="J47" s="16">
        <f t="shared" si="8"/>
        <v>0</v>
      </c>
      <c r="K47" s="16">
        <f t="shared" si="8"/>
        <v>0</v>
      </c>
      <c r="L47" s="16">
        <f t="shared" si="8"/>
        <v>0</v>
      </c>
      <c r="M47" s="16">
        <f t="shared" si="8"/>
        <v>-45</v>
      </c>
      <c r="N47" s="16">
        <f t="shared" si="8"/>
        <v>0</v>
      </c>
      <c r="O47" s="16">
        <f t="shared" si="8"/>
        <v>0</v>
      </c>
      <c r="P47" s="16">
        <f t="shared" si="8"/>
        <v>-45</v>
      </c>
    </row>
    <row r="48" spans="2:18" x14ac:dyDescent="0.2">
      <c r="B48" t="s">
        <v>77</v>
      </c>
      <c r="D48" s="5">
        <f>D10</f>
        <v>0</v>
      </c>
      <c r="E48" s="5">
        <f>E10</f>
        <v>0</v>
      </c>
      <c r="F48" s="5">
        <f>F10</f>
        <v>0</v>
      </c>
      <c r="G48" s="5">
        <f>G10</f>
        <v>0</v>
      </c>
      <c r="H48" s="5">
        <f>H10</f>
        <v>0</v>
      </c>
      <c r="I48" s="5">
        <f>I10</f>
        <v>0</v>
      </c>
      <c r="J48" s="5">
        <f>J10</f>
        <v>0</v>
      </c>
      <c r="K48" s="5">
        <f>K10</f>
        <v>0</v>
      </c>
      <c r="L48" s="5">
        <f>L10</f>
        <v>0</v>
      </c>
      <c r="M48" s="5">
        <f>M6</f>
        <v>-45</v>
      </c>
      <c r="N48" s="5">
        <f>N10</f>
        <v>0</v>
      </c>
      <c r="O48" s="5">
        <f>O10</f>
        <v>0</v>
      </c>
      <c r="P48" s="13">
        <f>SUM(D48:O48)</f>
        <v>-45</v>
      </c>
      <c r="R48" s="14" t="str">
        <f>IF(COUNT(D48:O48)=0,"",IF(ABS(P48-Gabarito!P48)&lt;0.5,"✔","✗"))</f>
        <v>✔</v>
      </c>
    </row>
    <row r="49" spans="2:18" x14ac:dyDescent="0.2">
      <c r="B49" s="15" t="s">
        <v>78</v>
      </c>
      <c r="D49" s="16">
        <f t="shared" ref="D49:P49" si="9">SUM(D50:D52)</f>
        <v>0</v>
      </c>
      <c r="E49" s="16">
        <f t="shared" si="9"/>
        <v>0</v>
      </c>
      <c r="F49" s="16">
        <f t="shared" si="9"/>
        <v>0</v>
      </c>
      <c r="G49" s="16">
        <f t="shared" si="9"/>
        <v>0</v>
      </c>
      <c r="H49" s="16">
        <f t="shared" si="9"/>
        <v>0</v>
      </c>
      <c r="I49" s="16">
        <f t="shared" si="9"/>
        <v>0</v>
      </c>
      <c r="J49" s="16">
        <f t="shared" si="9"/>
        <v>0</v>
      </c>
      <c r="K49" s="16">
        <f t="shared" si="9"/>
        <v>80</v>
      </c>
      <c r="L49" s="16">
        <f t="shared" si="9"/>
        <v>-50</v>
      </c>
      <c r="M49" s="16">
        <f t="shared" si="9"/>
        <v>0</v>
      </c>
      <c r="N49" s="16">
        <f t="shared" si="9"/>
        <v>0</v>
      </c>
      <c r="O49" s="16">
        <f t="shared" si="9"/>
        <v>-25</v>
      </c>
      <c r="P49" s="16">
        <f t="shared" si="9"/>
        <v>5</v>
      </c>
    </row>
    <row r="50" spans="2:18" x14ac:dyDescent="0.2">
      <c r="B50" t="s">
        <v>79</v>
      </c>
      <c r="D50" s="5"/>
      <c r="E50" s="5"/>
      <c r="F50" s="5"/>
      <c r="G50" s="5"/>
      <c r="H50" s="5"/>
      <c r="I50" s="5"/>
      <c r="J50" s="5"/>
      <c r="K50" s="5">
        <f>K18</f>
        <v>80</v>
      </c>
      <c r="L50" s="5"/>
      <c r="M50" s="5"/>
      <c r="N50" s="5"/>
      <c r="O50" s="5"/>
      <c r="P50" s="13">
        <f>SUM(D50:O50)</f>
        <v>80</v>
      </c>
      <c r="R50" s="14" t="str">
        <f>IF(COUNT(D50:O50)=0,"",IF(ABS(P50-Gabarito!P50)&lt;0.5,"✔","✗"))</f>
        <v>✔</v>
      </c>
    </row>
    <row r="51" spans="2:18" x14ac:dyDescent="0.2">
      <c r="B51" t="s">
        <v>80</v>
      </c>
      <c r="D51" s="5"/>
      <c r="E51" s="5"/>
      <c r="F51" s="5"/>
      <c r="G51" s="5"/>
      <c r="H51" s="5"/>
      <c r="I51" s="5"/>
      <c r="J51" s="5"/>
      <c r="K51" s="5"/>
      <c r="L51" s="5">
        <f>L18</f>
        <v>-50</v>
      </c>
      <c r="M51" s="5"/>
      <c r="N51" s="5"/>
      <c r="O51" s="5"/>
      <c r="P51" s="13">
        <f>SUM(D51:O51)</f>
        <v>-50</v>
      </c>
      <c r="R51" s="14" t="str">
        <f>IF(COUNT(D51:O51)=0,"",IF(ABS(P51-Gabarito!P51)&lt;0.5,"✔","✗"))</f>
        <v>✔</v>
      </c>
    </row>
    <row r="52" spans="2:18" x14ac:dyDescent="0.2">
      <c r="B52" t="s">
        <v>81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>O6</f>
        <v>-25</v>
      </c>
      <c r="P52" s="13">
        <f>SUM(D52:O52)</f>
        <v>-25</v>
      </c>
      <c r="R52" s="14" t="str">
        <f>IF(COUNT(D52:O52)=0,"",IF(ABS(P52-Gabarito!P52)&lt;0.5,"✔","✗"))</f>
        <v>✔</v>
      </c>
    </row>
    <row r="53" spans="2:18" x14ac:dyDescent="0.2">
      <c r="B53" s="15" t="s">
        <v>82</v>
      </c>
      <c r="D53" s="16">
        <f>D41+D47+D49</f>
        <v>380</v>
      </c>
      <c r="E53" s="16">
        <f t="shared" ref="E53:P53" si="10">E41+E47+E49</f>
        <v>0</v>
      </c>
      <c r="F53" s="16">
        <f t="shared" si="10"/>
        <v>95</v>
      </c>
      <c r="G53" s="16">
        <f t="shared" si="10"/>
        <v>-310</v>
      </c>
      <c r="H53" s="16">
        <f t="shared" si="10"/>
        <v>25</v>
      </c>
      <c r="I53" s="16">
        <f t="shared" si="10"/>
        <v>-90</v>
      </c>
      <c r="J53" s="16">
        <f t="shared" si="10"/>
        <v>0</v>
      </c>
      <c r="K53" s="16">
        <f t="shared" si="10"/>
        <v>80</v>
      </c>
      <c r="L53" s="16">
        <f t="shared" si="10"/>
        <v>-60</v>
      </c>
      <c r="M53" s="16">
        <f t="shared" si="10"/>
        <v>-45</v>
      </c>
      <c r="N53" s="16">
        <f t="shared" si="10"/>
        <v>-20</v>
      </c>
      <c r="O53" s="16">
        <f t="shared" si="10"/>
        <v>-25</v>
      </c>
      <c r="P53" s="16">
        <f t="shared" si="10"/>
        <v>30</v>
      </c>
    </row>
    <row r="54" spans="2:18" x14ac:dyDescent="0.2">
      <c r="B54" t="s">
        <v>83</v>
      </c>
      <c r="P54" s="12">
        <v>40</v>
      </c>
    </row>
    <row r="55" spans="2:18" x14ac:dyDescent="0.2">
      <c r="B55" s="15" t="s">
        <v>84</v>
      </c>
      <c r="P55" s="13">
        <f>P54+P53</f>
        <v>70</v>
      </c>
    </row>
    <row r="57" spans="2:18" x14ac:dyDescent="0.2">
      <c r="B57" s="17" t="s">
        <v>85</v>
      </c>
      <c r="P57" s="13">
        <f>P55-P6</f>
        <v>0</v>
      </c>
      <c r="R57" s="15" t="str">
        <f>IF(P57=0,"✔ amarra","✗ não amarra")</f>
        <v>✔ amarra</v>
      </c>
    </row>
    <row r="59" spans="2:18" x14ac:dyDescent="0.2">
      <c r="B59" s="9" t="s">
        <v>86</v>
      </c>
    </row>
    <row r="60" spans="2:18" x14ac:dyDescent="0.2">
      <c r="B60" t="s">
        <v>87</v>
      </c>
      <c r="P60" s="19">
        <f>IF(P29=0,"",P31/P29)</f>
        <v>0.42307692307692307</v>
      </c>
    </row>
    <row r="61" spans="2:18" x14ac:dyDescent="0.2">
      <c r="B61" t="s">
        <v>88</v>
      </c>
      <c r="P61" s="19">
        <f>IF(P29=0,"",P38/P29)</f>
        <v>0.12115384615384615</v>
      </c>
    </row>
    <row r="62" spans="2:18" x14ac:dyDescent="0.2">
      <c r="B62" t="s">
        <v>89</v>
      </c>
      <c r="P62" s="19">
        <f>IF(P12=0,"",SUM(P22:P23)/P12)</f>
        <v>0.4768</v>
      </c>
    </row>
    <row r="63" spans="2:18" x14ac:dyDescent="0.2">
      <c r="B63" t="s">
        <v>90</v>
      </c>
      <c r="P63" s="19">
        <f>IF(SUM(P22:P23)=0,"",P38/SUM(P22:P23))</f>
        <v>0.21140939597315436</v>
      </c>
    </row>
  </sheetData>
  <mergeCells count="1">
    <mergeCell ref="B1:C1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3"/>
  <sheetViews>
    <sheetView showGridLines="0" workbookViewId="0">
      <pane xSplit="2" ySplit="3" topLeftCell="C23" activePane="bottomRight" state="frozen"/>
      <selection pane="topRight"/>
      <selection pane="bottomLeft"/>
      <selection pane="bottomRight" activeCell="L35" sqref="L35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16" width="13" customWidth="1"/>
    <col min="17" max="17" width="3" customWidth="1"/>
    <col min="18" max="18" width="13" customWidth="1"/>
  </cols>
  <sheetData>
    <row r="1" spans="2:16" x14ac:dyDescent="0.2">
      <c r="B1" s="25" t="s">
        <v>24</v>
      </c>
      <c r="C1" s="23"/>
      <c r="D1" s="7" t="s">
        <v>25</v>
      </c>
    </row>
    <row r="2" spans="2:16" ht="42" customHeight="1" x14ac:dyDescent="0.2">
      <c r="B2" s="1" t="s">
        <v>26</v>
      </c>
      <c r="D2" s="8" t="s">
        <v>27</v>
      </c>
      <c r="E2" s="8" t="s">
        <v>13</v>
      </c>
      <c r="F2" s="8" t="s">
        <v>28</v>
      </c>
      <c r="G2" s="8" t="s">
        <v>15</v>
      </c>
      <c r="H2" s="8" t="s">
        <v>29</v>
      </c>
      <c r="I2" s="8" t="s">
        <v>17</v>
      </c>
      <c r="J2" s="8" t="s">
        <v>18</v>
      </c>
      <c r="K2" s="8" t="s">
        <v>19</v>
      </c>
      <c r="L2" s="8" t="s">
        <v>30</v>
      </c>
      <c r="M2" s="8" t="s">
        <v>31</v>
      </c>
      <c r="N2" s="8" t="s">
        <v>32</v>
      </c>
      <c r="O2" s="8" t="s">
        <v>23</v>
      </c>
    </row>
    <row r="3" spans="2:16" x14ac:dyDescent="0.2">
      <c r="B3" s="9" t="s">
        <v>33</v>
      </c>
      <c r="C3" s="9" t="s">
        <v>34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9" t="s">
        <v>35</v>
      </c>
    </row>
    <row r="4" spans="2:16" x14ac:dyDescent="0.2">
      <c r="B4" s="10" t="s">
        <v>4</v>
      </c>
    </row>
    <row r="5" spans="2:16" x14ac:dyDescent="0.2">
      <c r="B5" s="11" t="s">
        <v>36</v>
      </c>
    </row>
    <row r="6" spans="2:16" x14ac:dyDescent="0.2">
      <c r="B6" t="s">
        <v>37</v>
      </c>
      <c r="C6" s="12">
        <v>40</v>
      </c>
      <c r="D6" s="5">
        <v>380</v>
      </c>
      <c r="E6" s="5"/>
      <c r="F6" s="5">
        <v>95</v>
      </c>
      <c r="G6" s="5">
        <v>-310</v>
      </c>
      <c r="H6" s="5">
        <v>25</v>
      </c>
      <c r="I6" s="5">
        <v>-90</v>
      </c>
      <c r="J6" s="5"/>
      <c r="K6" s="5">
        <v>80</v>
      </c>
      <c r="L6" s="5">
        <v>-60</v>
      </c>
      <c r="M6" s="5">
        <v>-45</v>
      </c>
      <c r="N6" s="5">
        <v>-20</v>
      </c>
      <c r="O6" s="5">
        <v>-25</v>
      </c>
      <c r="P6" s="13">
        <f>C6+SUM(D6:O6)</f>
        <v>70</v>
      </c>
    </row>
    <row r="7" spans="2:16" x14ac:dyDescent="0.2">
      <c r="B7" t="s">
        <v>38</v>
      </c>
      <c r="C7" s="12">
        <v>60</v>
      </c>
      <c r="D7" s="5">
        <v>140</v>
      </c>
      <c r="E7" s="5"/>
      <c r="F7" s="5">
        <v>-95</v>
      </c>
      <c r="G7" s="5"/>
      <c r="H7" s="5"/>
      <c r="I7" s="5"/>
      <c r="J7" s="5"/>
      <c r="K7" s="5"/>
      <c r="L7" s="5"/>
      <c r="M7" s="5"/>
      <c r="N7" s="5"/>
      <c r="O7" s="5"/>
      <c r="P7" s="13">
        <f>C7+SUM(D7:O7)</f>
        <v>105</v>
      </c>
    </row>
    <row r="8" spans="2:16" x14ac:dyDescent="0.2">
      <c r="B8" t="s">
        <v>39</v>
      </c>
      <c r="C8" s="12">
        <v>90</v>
      </c>
      <c r="D8" s="5">
        <v>-300</v>
      </c>
      <c r="E8" s="5">
        <v>330</v>
      </c>
      <c r="F8" s="5"/>
      <c r="G8" s="5"/>
      <c r="H8" s="5"/>
      <c r="I8" s="5"/>
      <c r="J8" s="5"/>
      <c r="K8" s="5"/>
      <c r="L8" s="5"/>
      <c r="M8" s="5"/>
      <c r="N8" s="5"/>
      <c r="O8" s="5"/>
      <c r="P8" s="13">
        <f>C8+SUM(D8:O8)</f>
        <v>120</v>
      </c>
    </row>
    <row r="9" spans="2:16" x14ac:dyDescent="0.2">
      <c r="B9" s="11" t="s">
        <v>40</v>
      </c>
    </row>
    <row r="10" spans="2:16" x14ac:dyDescent="0.2">
      <c r="B10" t="s">
        <v>41</v>
      </c>
      <c r="C10" s="12">
        <v>300</v>
      </c>
      <c r="D10" s="5"/>
      <c r="E10" s="5"/>
      <c r="F10" s="5"/>
      <c r="G10" s="5"/>
      <c r="H10" s="5"/>
      <c r="I10" s="5"/>
      <c r="J10" s="5"/>
      <c r="K10" s="5"/>
      <c r="L10" s="5"/>
      <c r="M10" s="5">
        <v>120</v>
      </c>
      <c r="N10" s="5"/>
      <c r="O10" s="5"/>
      <c r="P10" s="13">
        <f>C10+SUM(D10:O10)</f>
        <v>420</v>
      </c>
    </row>
    <row r="11" spans="2:16" x14ac:dyDescent="0.2">
      <c r="B11" t="s">
        <v>42</v>
      </c>
      <c r="C11" s="12">
        <v>-60</v>
      </c>
      <c r="D11" s="5"/>
      <c r="E11" s="5"/>
      <c r="F11" s="5"/>
      <c r="G11" s="5"/>
      <c r="H11" s="5"/>
      <c r="I11" s="5"/>
      <c r="J11" s="5">
        <v>-30</v>
      </c>
      <c r="K11" s="5"/>
      <c r="L11" s="5"/>
      <c r="M11" s="5"/>
      <c r="N11" s="5"/>
      <c r="O11" s="5"/>
      <c r="P11" s="13">
        <f>C11+SUM(D11:O11)</f>
        <v>-90</v>
      </c>
    </row>
    <row r="12" spans="2:16" x14ac:dyDescent="0.2">
      <c r="B12" s="15" t="s">
        <v>43</v>
      </c>
      <c r="C12" s="16">
        <f t="shared" ref="C12:P12" si="0">SUM(C6:C11)</f>
        <v>430</v>
      </c>
      <c r="D12" s="16">
        <f t="shared" si="0"/>
        <v>220</v>
      </c>
      <c r="E12" s="16">
        <f t="shared" si="0"/>
        <v>330</v>
      </c>
      <c r="F12" s="16">
        <f t="shared" si="0"/>
        <v>0</v>
      </c>
      <c r="G12" s="16">
        <f t="shared" si="0"/>
        <v>-310</v>
      </c>
      <c r="H12" s="16">
        <f t="shared" si="0"/>
        <v>25</v>
      </c>
      <c r="I12" s="16">
        <f t="shared" si="0"/>
        <v>-90</v>
      </c>
      <c r="J12" s="16">
        <f t="shared" si="0"/>
        <v>-30</v>
      </c>
      <c r="K12" s="16">
        <f t="shared" si="0"/>
        <v>80</v>
      </c>
      <c r="L12" s="16">
        <f t="shared" si="0"/>
        <v>-60</v>
      </c>
      <c r="M12" s="16">
        <f t="shared" si="0"/>
        <v>75</v>
      </c>
      <c r="N12" s="16">
        <f t="shared" si="0"/>
        <v>-20</v>
      </c>
      <c r="O12" s="16">
        <f t="shared" si="0"/>
        <v>-25</v>
      </c>
      <c r="P12" s="16">
        <f t="shared" si="0"/>
        <v>625</v>
      </c>
    </row>
    <row r="13" spans="2:16" x14ac:dyDescent="0.2">
      <c r="B13" s="10" t="s">
        <v>44</v>
      </c>
    </row>
    <row r="14" spans="2:16" x14ac:dyDescent="0.2">
      <c r="B14" s="11" t="s">
        <v>45</v>
      </c>
    </row>
    <row r="15" spans="2:16" x14ac:dyDescent="0.2">
      <c r="B15" t="s">
        <v>46</v>
      </c>
      <c r="C15" s="12">
        <v>70</v>
      </c>
      <c r="D15" s="5"/>
      <c r="E15" s="5">
        <v>330</v>
      </c>
      <c r="F15" s="5"/>
      <c r="G15" s="5">
        <v>-310</v>
      </c>
      <c r="H15" s="5"/>
      <c r="I15" s="5"/>
      <c r="J15" s="5"/>
      <c r="K15" s="5"/>
      <c r="L15" s="5"/>
      <c r="M15" s="5"/>
      <c r="N15" s="5"/>
      <c r="O15" s="5"/>
      <c r="P15" s="13">
        <f>C15+SUM(D15:O15)</f>
        <v>90</v>
      </c>
    </row>
    <row r="16" spans="2:16" x14ac:dyDescent="0.2">
      <c r="B16" t="s">
        <v>47</v>
      </c>
      <c r="C16" s="12"/>
      <c r="D16" s="5"/>
      <c r="E16" s="5"/>
      <c r="F16" s="5"/>
      <c r="G16" s="5"/>
      <c r="H16" s="5">
        <v>25</v>
      </c>
      <c r="I16" s="5"/>
      <c r="J16" s="5"/>
      <c r="K16" s="5"/>
      <c r="L16" s="5"/>
      <c r="M16" s="5"/>
      <c r="N16" s="5"/>
      <c r="O16" s="5"/>
      <c r="P16" s="13">
        <f>C16+SUM(D16:O16)</f>
        <v>25</v>
      </c>
    </row>
    <row r="17" spans="2:18" x14ac:dyDescent="0.2">
      <c r="B17" t="s">
        <v>48</v>
      </c>
      <c r="C17" s="12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</v>
      </c>
      <c r="O17" s="5"/>
      <c r="P17" s="13">
        <f>C17+SUM(D17:O17)</f>
        <v>7</v>
      </c>
    </row>
    <row r="18" spans="2:18" x14ac:dyDescent="0.2">
      <c r="B18" t="s">
        <v>49</v>
      </c>
      <c r="C18" s="12">
        <v>100</v>
      </c>
      <c r="D18" s="5"/>
      <c r="E18" s="5"/>
      <c r="F18" s="5"/>
      <c r="G18" s="5"/>
      <c r="H18" s="5"/>
      <c r="I18" s="5"/>
      <c r="J18" s="5"/>
      <c r="K18" s="5">
        <v>80</v>
      </c>
      <c r="L18" s="5">
        <v>-50</v>
      </c>
      <c r="M18" s="5"/>
      <c r="N18" s="5"/>
      <c r="O18" s="5"/>
      <c r="P18" s="13">
        <f>C18+SUM(D18:O18)</f>
        <v>130</v>
      </c>
    </row>
    <row r="19" spans="2:18" x14ac:dyDescent="0.2">
      <c r="B19" s="11" t="s">
        <v>50</v>
      </c>
    </row>
    <row r="20" spans="2:18" x14ac:dyDescent="0.2">
      <c r="B20" t="s">
        <v>51</v>
      </c>
      <c r="C20" s="12"/>
      <c r="D20" s="5"/>
      <c r="E20" s="5"/>
      <c r="F20" s="5"/>
      <c r="G20" s="5"/>
      <c r="H20" s="5"/>
      <c r="I20" s="5"/>
      <c r="J20" s="5"/>
      <c r="K20" s="5"/>
      <c r="L20" s="5"/>
      <c r="M20" s="5">
        <v>75</v>
      </c>
      <c r="N20" s="5"/>
      <c r="O20" s="5"/>
      <c r="P20" s="13">
        <f>C20+SUM(D20:O20)</f>
        <v>75</v>
      </c>
    </row>
    <row r="21" spans="2:18" x14ac:dyDescent="0.2">
      <c r="B21" s="11" t="s">
        <v>52</v>
      </c>
    </row>
    <row r="22" spans="2:18" x14ac:dyDescent="0.2">
      <c r="B22" t="s">
        <v>53</v>
      </c>
      <c r="C22" s="12">
        <v>200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3">
        <f>C22+SUM(D22:O22)</f>
        <v>200</v>
      </c>
    </row>
    <row r="23" spans="2:18" x14ac:dyDescent="0.2">
      <c r="B23" t="s">
        <v>54</v>
      </c>
      <c r="C23" s="12">
        <v>60</v>
      </c>
      <c r="D23" s="5">
        <v>220</v>
      </c>
      <c r="E23" s="5"/>
      <c r="F23" s="5"/>
      <c r="G23" s="5"/>
      <c r="H23" s="5"/>
      <c r="I23" s="5">
        <v>-90</v>
      </c>
      <c r="J23" s="5">
        <v>-30</v>
      </c>
      <c r="K23" s="5"/>
      <c r="L23" s="5">
        <v>-10</v>
      </c>
      <c r="M23" s="5"/>
      <c r="N23" s="5">
        <v>-27</v>
      </c>
      <c r="O23" s="5">
        <v>-25</v>
      </c>
      <c r="P23" s="13">
        <f>C23+SUM(D23:O23)</f>
        <v>98</v>
      </c>
    </row>
    <row r="24" spans="2:18" x14ac:dyDescent="0.2">
      <c r="B24" s="15" t="s">
        <v>55</v>
      </c>
      <c r="C24" s="16">
        <f t="shared" ref="C24:P24" si="1">SUM(C14:C23)</f>
        <v>430</v>
      </c>
      <c r="D24" s="16">
        <f t="shared" si="1"/>
        <v>220</v>
      </c>
      <c r="E24" s="16">
        <f t="shared" si="1"/>
        <v>330</v>
      </c>
      <c r="F24" s="16">
        <f t="shared" si="1"/>
        <v>0</v>
      </c>
      <c r="G24" s="16">
        <f t="shared" si="1"/>
        <v>-310</v>
      </c>
      <c r="H24" s="16">
        <f t="shared" si="1"/>
        <v>25</v>
      </c>
      <c r="I24" s="16">
        <f t="shared" si="1"/>
        <v>-90</v>
      </c>
      <c r="J24" s="16">
        <f t="shared" si="1"/>
        <v>-30</v>
      </c>
      <c r="K24" s="16">
        <f t="shared" si="1"/>
        <v>80</v>
      </c>
      <c r="L24" s="16">
        <f t="shared" si="1"/>
        <v>-60</v>
      </c>
      <c r="M24" s="16">
        <f t="shared" si="1"/>
        <v>75</v>
      </c>
      <c r="N24" s="16">
        <f t="shared" si="1"/>
        <v>-20</v>
      </c>
      <c r="O24" s="16">
        <f t="shared" si="1"/>
        <v>-25</v>
      </c>
      <c r="P24" s="16">
        <f t="shared" si="1"/>
        <v>625</v>
      </c>
    </row>
    <row r="26" spans="2:18" x14ac:dyDescent="0.2">
      <c r="B26" s="17" t="s">
        <v>56</v>
      </c>
      <c r="C26" s="13">
        <f t="shared" ref="C26:P26" si="2">C12-C24</f>
        <v>0</v>
      </c>
      <c r="D26" s="13">
        <f t="shared" si="2"/>
        <v>0</v>
      </c>
      <c r="E26" s="13">
        <f t="shared" si="2"/>
        <v>0</v>
      </c>
      <c r="F26" s="13">
        <f t="shared" si="2"/>
        <v>0</v>
      </c>
      <c r="G26" s="13">
        <f t="shared" si="2"/>
        <v>0</v>
      </c>
      <c r="H26" s="13">
        <f t="shared" si="2"/>
        <v>0</v>
      </c>
      <c r="I26" s="13">
        <f t="shared" si="2"/>
        <v>0</v>
      </c>
      <c r="J26" s="13">
        <f t="shared" si="2"/>
        <v>0</v>
      </c>
      <c r="K26" s="13">
        <f t="shared" si="2"/>
        <v>0</v>
      </c>
      <c r="L26" s="13">
        <f t="shared" si="2"/>
        <v>0</v>
      </c>
      <c r="M26" s="13">
        <f t="shared" si="2"/>
        <v>0</v>
      </c>
      <c r="N26" s="13">
        <f t="shared" si="2"/>
        <v>0</v>
      </c>
      <c r="O26" s="13">
        <f t="shared" si="2"/>
        <v>0</v>
      </c>
      <c r="P26" s="13">
        <f t="shared" si="2"/>
        <v>0</v>
      </c>
    </row>
    <row r="28" spans="2:18" x14ac:dyDescent="0.2">
      <c r="B28" s="9" t="s">
        <v>57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9" t="s">
        <v>58</v>
      </c>
      <c r="R28" s="18" t="s">
        <v>9</v>
      </c>
    </row>
    <row r="29" spans="2:18" x14ac:dyDescent="0.2">
      <c r="B29" t="s">
        <v>59</v>
      </c>
      <c r="D29" s="5">
        <v>520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3">
        <f>SUM(D29:O29)</f>
        <v>520</v>
      </c>
    </row>
    <row r="30" spans="2:18" x14ac:dyDescent="0.2">
      <c r="B30" t="s">
        <v>60</v>
      </c>
      <c r="D30" s="5">
        <v>-300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3">
        <f>SUM(D30:O30)</f>
        <v>-300</v>
      </c>
    </row>
    <row r="31" spans="2:18" x14ac:dyDescent="0.2">
      <c r="B31" s="15" t="s">
        <v>61</v>
      </c>
      <c r="D31" s="16">
        <f t="shared" ref="D31:P31" si="3">SUM(D29:D30)</f>
        <v>220</v>
      </c>
      <c r="E31" s="16">
        <f t="shared" si="3"/>
        <v>0</v>
      </c>
      <c r="F31" s="16">
        <f t="shared" si="3"/>
        <v>0</v>
      </c>
      <c r="G31" s="16">
        <f t="shared" si="3"/>
        <v>0</v>
      </c>
      <c r="H31" s="16">
        <f t="shared" si="3"/>
        <v>0</v>
      </c>
      <c r="I31" s="16">
        <f t="shared" si="3"/>
        <v>0</v>
      </c>
      <c r="J31" s="16">
        <f t="shared" si="3"/>
        <v>0</v>
      </c>
      <c r="K31" s="16">
        <f t="shared" si="3"/>
        <v>0</v>
      </c>
      <c r="L31" s="16">
        <f t="shared" si="3"/>
        <v>0</v>
      </c>
      <c r="M31" s="16">
        <f t="shared" si="3"/>
        <v>0</v>
      </c>
      <c r="N31" s="16">
        <f t="shared" si="3"/>
        <v>0</v>
      </c>
      <c r="O31" s="16">
        <f t="shared" si="3"/>
        <v>0</v>
      </c>
      <c r="P31" s="16">
        <f t="shared" si="3"/>
        <v>220</v>
      </c>
    </row>
    <row r="32" spans="2:18" x14ac:dyDescent="0.2">
      <c r="B32" t="s">
        <v>62</v>
      </c>
      <c r="D32" s="5"/>
      <c r="E32" s="5"/>
      <c r="F32" s="5"/>
      <c r="G32" s="5"/>
      <c r="H32" s="5"/>
      <c r="I32" s="5">
        <v>-90</v>
      </c>
      <c r="J32" s="5"/>
      <c r="K32" s="5"/>
      <c r="L32" s="5"/>
      <c r="M32" s="5"/>
      <c r="N32" s="5"/>
      <c r="O32" s="5"/>
      <c r="P32" s="13">
        <f>SUM(D32:O32)</f>
        <v>-90</v>
      </c>
    </row>
    <row r="33" spans="2:16" x14ac:dyDescent="0.2">
      <c r="B33" t="s">
        <v>63</v>
      </c>
      <c r="D33" s="5"/>
      <c r="E33" s="5"/>
      <c r="F33" s="5"/>
      <c r="G33" s="5"/>
      <c r="H33" s="5"/>
      <c r="I33" s="5"/>
      <c r="J33" s="5">
        <v>-30</v>
      </c>
      <c r="K33" s="5"/>
      <c r="L33" s="5"/>
      <c r="M33" s="5"/>
      <c r="N33" s="5"/>
      <c r="O33" s="5"/>
      <c r="P33" s="13">
        <f>SUM(D33:O33)</f>
        <v>-30</v>
      </c>
    </row>
    <row r="34" spans="2:16" x14ac:dyDescent="0.2">
      <c r="B34" s="15" t="s">
        <v>64</v>
      </c>
      <c r="D34" s="16">
        <f t="shared" ref="D34:P34" si="4">SUM(D31:D33)</f>
        <v>220</v>
      </c>
      <c r="E34" s="16">
        <f t="shared" si="4"/>
        <v>0</v>
      </c>
      <c r="F34" s="16">
        <f t="shared" si="4"/>
        <v>0</v>
      </c>
      <c r="G34" s="16">
        <f t="shared" si="4"/>
        <v>0</v>
      </c>
      <c r="H34" s="16">
        <f t="shared" si="4"/>
        <v>0</v>
      </c>
      <c r="I34" s="16">
        <f t="shared" si="4"/>
        <v>-90</v>
      </c>
      <c r="J34" s="16">
        <f t="shared" si="4"/>
        <v>-30</v>
      </c>
      <c r="K34" s="16">
        <f t="shared" si="4"/>
        <v>0</v>
      </c>
      <c r="L34" s="16">
        <f t="shared" si="4"/>
        <v>0</v>
      </c>
      <c r="M34" s="16">
        <f t="shared" si="4"/>
        <v>0</v>
      </c>
      <c r="N34" s="16">
        <f t="shared" si="4"/>
        <v>0</v>
      </c>
      <c r="O34" s="16">
        <f t="shared" si="4"/>
        <v>0</v>
      </c>
      <c r="P34" s="16">
        <f t="shared" si="4"/>
        <v>100</v>
      </c>
    </row>
    <row r="35" spans="2:16" x14ac:dyDescent="0.2">
      <c r="B35" t="s">
        <v>65</v>
      </c>
      <c r="D35" s="5"/>
      <c r="E35" s="5"/>
      <c r="F35" s="5"/>
      <c r="G35" s="5"/>
      <c r="H35" s="5"/>
      <c r="I35" s="5"/>
      <c r="J35" s="5"/>
      <c r="K35" s="5"/>
      <c r="L35" s="5">
        <v>-10</v>
      </c>
      <c r="M35" s="5"/>
      <c r="N35" s="5"/>
      <c r="O35" s="5"/>
      <c r="P35" s="13">
        <f>SUM(D35:O35)</f>
        <v>-10</v>
      </c>
    </row>
    <row r="36" spans="2:16" x14ac:dyDescent="0.2">
      <c r="B36" s="15" t="s">
        <v>66</v>
      </c>
      <c r="D36" s="16">
        <f t="shared" ref="D36:P36" si="5">SUM(D34:D35)</f>
        <v>220</v>
      </c>
      <c r="E36" s="16">
        <f t="shared" si="5"/>
        <v>0</v>
      </c>
      <c r="F36" s="16">
        <f t="shared" si="5"/>
        <v>0</v>
      </c>
      <c r="G36" s="16">
        <f t="shared" si="5"/>
        <v>0</v>
      </c>
      <c r="H36" s="16">
        <f t="shared" si="5"/>
        <v>0</v>
      </c>
      <c r="I36" s="16">
        <f t="shared" si="5"/>
        <v>-90</v>
      </c>
      <c r="J36" s="16">
        <f t="shared" si="5"/>
        <v>-30</v>
      </c>
      <c r="K36" s="16">
        <f t="shared" si="5"/>
        <v>0</v>
      </c>
      <c r="L36" s="16">
        <f t="shared" si="5"/>
        <v>-10</v>
      </c>
      <c r="M36" s="16">
        <f t="shared" si="5"/>
        <v>0</v>
      </c>
      <c r="N36" s="16">
        <f t="shared" si="5"/>
        <v>0</v>
      </c>
      <c r="O36" s="16">
        <f t="shared" si="5"/>
        <v>0</v>
      </c>
      <c r="P36" s="16">
        <f t="shared" si="5"/>
        <v>90</v>
      </c>
    </row>
    <row r="37" spans="2:16" x14ac:dyDescent="0.2">
      <c r="B37" t="s">
        <v>67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-27</v>
      </c>
      <c r="O37" s="5"/>
      <c r="P37" s="13">
        <f>SUM(D37:O37)</f>
        <v>-27</v>
      </c>
    </row>
    <row r="38" spans="2:16" x14ac:dyDescent="0.2">
      <c r="B38" s="15" t="s">
        <v>68</v>
      </c>
      <c r="D38" s="16">
        <f t="shared" ref="D38:P38" si="6">SUM(D36:D37)</f>
        <v>220</v>
      </c>
      <c r="E38" s="16">
        <f t="shared" si="6"/>
        <v>0</v>
      </c>
      <c r="F38" s="16">
        <f t="shared" si="6"/>
        <v>0</v>
      </c>
      <c r="G38" s="16">
        <f t="shared" si="6"/>
        <v>0</v>
      </c>
      <c r="H38" s="16">
        <f t="shared" si="6"/>
        <v>0</v>
      </c>
      <c r="I38" s="16">
        <f t="shared" si="6"/>
        <v>-90</v>
      </c>
      <c r="J38" s="16">
        <f t="shared" si="6"/>
        <v>-30</v>
      </c>
      <c r="K38" s="16">
        <f t="shared" si="6"/>
        <v>0</v>
      </c>
      <c r="L38" s="16">
        <f t="shared" si="6"/>
        <v>-10</v>
      </c>
      <c r="M38" s="16">
        <f t="shared" si="6"/>
        <v>0</v>
      </c>
      <c r="N38" s="16">
        <f t="shared" si="6"/>
        <v>-27</v>
      </c>
      <c r="O38" s="16">
        <f t="shared" si="6"/>
        <v>0</v>
      </c>
      <c r="P38" s="16">
        <f t="shared" si="6"/>
        <v>63</v>
      </c>
    </row>
    <row r="40" spans="2:16" x14ac:dyDescent="0.2">
      <c r="B40" s="9" t="s">
        <v>69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>
        <v>6</v>
      </c>
      <c r="J40" s="2">
        <v>7</v>
      </c>
      <c r="K40" s="2">
        <v>8</v>
      </c>
      <c r="L40" s="2">
        <v>9</v>
      </c>
      <c r="M40" s="2">
        <v>10</v>
      </c>
      <c r="N40" s="2">
        <v>11</v>
      </c>
      <c r="O40" s="2">
        <v>12</v>
      </c>
      <c r="P40" s="9" t="s">
        <v>58</v>
      </c>
    </row>
    <row r="41" spans="2:16" x14ac:dyDescent="0.2">
      <c r="B41" s="15" t="s">
        <v>70</v>
      </c>
      <c r="D41" s="16">
        <f t="shared" ref="D41:P41" si="7">SUM(D42:D46)</f>
        <v>380</v>
      </c>
      <c r="E41" s="16">
        <f t="shared" si="7"/>
        <v>0</v>
      </c>
      <c r="F41" s="16">
        <f t="shared" si="7"/>
        <v>95</v>
      </c>
      <c r="G41" s="16">
        <f t="shared" si="7"/>
        <v>-310</v>
      </c>
      <c r="H41" s="16">
        <f t="shared" si="7"/>
        <v>25</v>
      </c>
      <c r="I41" s="16">
        <f t="shared" si="7"/>
        <v>-90</v>
      </c>
      <c r="J41" s="16">
        <f t="shared" si="7"/>
        <v>0</v>
      </c>
      <c r="K41" s="16">
        <f t="shared" si="7"/>
        <v>0</v>
      </c>
      <c r="L41" s="16">
        <f t="shared" si="7"/>
        <v>-10</v>
      </c>
      <c r="M41" s="16">
        <f t="shared" si="7"/>
        <v>0</v>
      </c>
      <c r="N41" s="16">
        <f t="shared" si="7"/>
        <v>-20</v>
      </c>
      <c r="O41" s="16">
        <f t="shared" si="7"/>
        <v>0</v>
      </c>
      <c r="P41" s="16">
        <f t="shared" si="7"/>
        <v>70</v>
      </c>
    </row>
    <row r="42" spans="2:16" x14ac:dyDescent="0.2">
      <c r="B42" t="s">
        <v>71</v>
      </c>
      <c r="D42" s="5">
        <v>380</v>
      </c>
      <c r="E42" s="5"/>
      <c r="F42" s="5">
        <v>95</v>
      </c>
      <c r="G42" s="5"/>
      <c r="H42" s="5">
        <v>25</v>
      </c>
      <c r="I42" s="5"/>
      <c r="J42" s="5"/>
      <c r="K42" s="5"/>
      <c r="L42" s="5"/>
      <c r="M42" s="5"/>
      <c r="N42" s="5"/>
      <c r="O42" s="5"/>
      <c r="P42" s="13">
        <f>SUM(D42:O42)</f>
        <v>500</v>
      </c>
    </row>
    <row r="43" spans="2:16" x14ac:dyDescent="0.2">
      <c r="B43" t="s">
        <v>72</v>
      </c>
      <c r="D43" s="5"/>
      <c r="E43" s="5"/>
      <c r="F43" s="5"/>
      <c r="G43" s="5">
        <v>-310</v>
      </c>
      <c r="H43" s="5"/>
      <c r="I43" s="5"/>
      <c r="J43" s="5"/>
      <c r="K43" s="5"/>
      <c r="L43" s="5"/>
      <c r="M43" s="5"/>
      <c r="N43" s="5"/>
      <c r="O43" s="5"/>
      <c r="P43" s="13">
        <f>SUM(D43:O43)</f>
        <v>-310</v>
      </c>
    </row>
    <row r="44" spans="2:16" x14ac:dyDescent="0.2">
      <c r="B44" t="s">
        <v>73</v>
      </c>
      <c r="D44" s="5"/>
      <c r="E44" s="5"/>
      <c r="F44" s="5"/>
      <c r="G44" s="5"/>
      <c r="H44" s="5"/>
      <c r="I44" s="5">
        <v>-90</v>
      </c>
      <c r="J44" s="5"/>
      <c r="K44" s="5"/>
      <c r="L44" s="5"/>
      <c r="M44" s="5"/>
      <c r="N44" s="5"/>
      <c r="O44" s="5"/>
      <c r="P44" s="13">
        <f>SUM(D44:O44)</f>
        <v>-90</v>
      </c>
    </row>
    <row r="45" spans="2:16" x14ac:dyDescent="0.2">
      <c r="B45" t="s">
        <v>74</v>
      </c>
      <c r="D45" s="5"/>
      <c r="E45" s="5"/>
      <c r="F45" s="5"/>
      <c r="G45" s="5"/>
      <c r="H45" s="5"/>
      <c r="I45" s="5"/>
      <c r="J45" s="5"/>
      <c r="K45" s="5"/>
      <c r="L45" s="5">
        <v>-10</v>
      </c>
      <c r="M45" s="5"/>
      <c r="N45" s="5"/>
      <c r="O45" s="5"/>
      <c r="P45" s="13">
        <f>SUM(D45:O45)</f>
        <v>-10</v>
      </c>
    </row>
    <row r="46" spans="2:16" x14ac:dyDescent="0.2">
      <c r="B46" t="s">
        <v>75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-20</v>
      </c>
      <c r="O46" s="5"/>
      <c r="P46" s="13">
        <f>SUM(D46:O46)</f>
        <v>-20</v>
      </c>
    </row>
    <row r="47" spans="2:16" x14ac:dyDescent="0.2">
      <c r="B47" s="15" t="s">
        <v>76</v>
      </c>
      <c r="D47" s="16">
        <f t="shared" ref="D47:P47" si="8">SUM(D48:D48)</f>
        <v>0</v>
      </c>
      <c r="E47" s="16">
        <f t="shared" si="8"/>
        <v>0</v>
      </c>
      <c r="F47" s="16">
        <f t="shared" si="8"/>
        <v>0</v>
      </c>
      <c r="G47" s="16">
        <f t="shared" si="8"/>
        <v>0</v>
      </c>
      <c r="H47" s="16">
        <f t="shared" si="8"/>
        <v>0</v>
      </c>
      <c r="I47" s="16">
        <f t="shared" si="8"/>
        <v>0</v>
      </c>
      <c r="J47" s="16">
        <f t="shared" si="8"/>
        <v>0</v>
      </c>
      <c r="K47" s="16">
        <f t="shared" si="8"/>
        <v>0</v>
      </c>
      <c r="L47" s="16">
        <f t="shared" si="8"/>
        <v>0</v>
      </c>
      <c r="M47" s="16">
        <f t="shared" si="8"/>
        <v>-45</v>
      </c>
      <c r="N47" s="16">
        <f t="shared" si="8"/>
        <v>0</v>
      </c>
      <c r="O47" s="16">
        <f t="shared" si="8"/>
        <v>0</v>
      </c>
      <c r="P47" s="16">
        <f t="shared" si="8"/>
        <v>-45</v>
      </c>
    </row>
    <row r="48" spans="2:16" x14ac:dyDescent="0.2">
      <c r="B48" t="s">
        <v>77</v>
      </c>
      <c r="D48" s="5"/>
      <c r="E48" s="5"/>
      <c r="F48" s="5"/>
      <c r="G48" s="5"/>
      <c r="H48" s="5"/>
      <c r="I48" s="5"/>
      <c r="J48" s="5"/>
      <c r="K48" s="5"/>
      <c r="L48" s="5"/>
      <c r="M48" s="5">
        <v>-45</v>
      </c>
      <c r="N48" s="5"/>
      <c r="O48" s="5"/>
      <c r="P48" s="13">
        <f>SUM(D48:O48)</f>
        <v>-45</v>
      </c>
    </row>
    <row r="49" spans="2:16" x14ac:dyDescent="0.2">
      <c r="B49" s="15" t="s">
        <v>78</v>
      </c>
      <c r="D49" s="16">
        <f t="shared" ref="D49:P49" si="9">SUM(D50:D52)</f>
        <v>0</v>
      </c>
      <c r="E49" s="16">
        <f t="shared" si="9"/>
        <v>0</v>
      </c>
      <c r="F49" s="16">
        <f t="shared" si="9"/>
        <v>0</v>
      </c>
      <c r="G49" s="16">
        <f t="shared" si="9"/>
        <v>0</v>
      </c>
      <c r="H49" s="16">
        <f t="shared" si="9"/>
        <v>0</v>
      </c>
      <c r="I49" s="16">
        <f t="shared" si="9"/>
        <v>0</v>
      </c>
      <c r="J49" s="16">
        <f t="shared" si="9"/>
        <v>0</v>
      </c>
      <c r="K49" s="16">
        <f t="shared" si="9"/>
        <v>80</v>
      </c>
      <c r="L49" s="16">
        <f t="shared" si="9"/>
        <v>-50</v>
      </c>
      <c r="M49" s="16">
        <f t="shared" si="9"/>
        <v>0</v>
      </c>
      <c r="N49" s="16">
        <f t="shared" si="9"/>
        <v>0</v>
      </c>
      <c r="O49" s="16">
        <f t="shared" si="9"/>
        <v>-25</v>
      </c>
      <c r="P49" s="16">
        <f t="shared" si="9"/>
        <v>5</v>
      </c>
    </row>
    <row r="50" spans="2:16" x14ac:dyDescent="0.2">
      <c r="B50" t="s">
        <v>79</v>
      </c>
      <c r="D50" s="5"/>
      <c r="E50" s="5"/>
      <c r="F50" s="5"/>
      <c r="G50" s="5"/>
      <c r="H50" s="5"/>
      <c r="I50" s="5"/>
      <c r="J50" s="5"/>
      <c r="K50" s="5">
        <v>80</v>
      </c>
      <c r="L50" s="5"/>
      <c r="M50" s="5"/>
      <c r="N50" s="5"/>
      <c r="O50" s="5"/>
      <c r="P50" s="13">
        <f>SUM(D50:O50)</f>
        <v>80</v>
      </c>
    </row>
    <row r="51" spans="2:16" x14ac:dyDescent="0.2">
      <c r="B51" t="s">
        <v>80</v>
      </c>
      <c r="D51" s="5"/>
      <c r="E51" s="5"/>
      <c r="F51" s="5"/>
      <c r="G51" s="5"/>
      <c r="H51" s="5"/>
      <c r="I51" s="5"/>
      <c r="J51" s="5"/>
      <c r="K51" s="5"/>
      <c r="L51" s="5">
        <v>-50</v>
      </c>
      <c r="M51" s="5"/>
      <c r="N51" s="5"/>
      <c r="O51" s="5"/>
      <c r="P51" s="13">
        <f>SUM(D51:O51)</f>
        <v>-50</v>
      </c>
    </row>
    <row r="52" spans="2:16" x14ac:dyDescent="0.2">
      <c r="B52" t="s">
        <v>81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-25</v>
      </c>
      <c r="P52" s="13">
        <f>SUM(D52:O52)</f>
        <v>-25</v>
      </c>
    </row>
    <row r="53" spans="2:16" x14ac:dyDescent="0.2">
      <c r="B53" s="15" t="s">
        <v>82</v>
      </c>
      <c r="D53" s="16">
        <f t="shared" ref="D53:P53" si="10">D41+D47+D49</f>
        <v>380</v>
      </c>
      <c r="E53" s="16">
        <f t="shared" si="10"/>
        <v>0</v>
      </c>
      <c r="F53" s="16">
        <f t="shared" si="10"/>
        <v>95</v>
      </c>
      <c r="G53" s="16">
        <f t="shared" si="10"/>
        <v>-310</v>
      </c>
      <c r="H53" s="16">
        <f t="shared" si="10"/>
        <v>25</v>
      </c>
      <c r="I53" s="16">
        <f t="shared" si="10"/>
        <v>-90</v>
      </c>
      <c r="J53" s="16">
        <f t="shared" si="10"/>
        <v>0</v>
      </c>
      <c r="K53" s="16">
        <f t="shared" si="10"/>
        <v>80</v>
      </c>
      <c r="L53" s="16">
        <f t="shared" si="10"/>
        <v>-60</v>
      </c>
      <c r="M53" s="16">
        <f t="shared" si="10"/>
        <v>-45</v>
      </c>
      <c r="N53" s="16">
        <f t="shared" si="10"/>
        <v>-20</v>
      </c>
      <c r="O53" s="16">
        <f t="shared" si="10"/>
        <v>-25</v>
      </c>
      <c r="P53" s="16">
        <f t="shared" si="10"/>
        <v>30</v>
      </c>
    </row>
    <row r="54" spans="2:16" x14ac:dyDescent="0.2">
      <c r="B54" t="s">
        <v>83</v>
      </c>
      <c r="P54" s="12">
        <v>40</v>
      </c>
    </row>
    <row r="55" spans="2:16" x14ac:dyDescent="0.2">
      <c r="B55" s="15" t="s">
        <v>84</v>
      </c>
      <c r="P55" s="13">
        <f>P54+P53</f>
        <v>70</v>
      </c>
    </row>
    <row r="57" spans="2:16" x14ac:dyDescent="0.2">
      <c r="B57" s="17" t="s">
        <v>85</v>
      </c>
      <c r="P57" s="13">
        <f>P55-P6</f>
        <v>0</v>
      </c>
    </row>
    <row r="59" spans="2:16" x14ac:dyDescent="0.2">
      <c r="B59" s="9" t="s">
        <v>86</v>
      </c>
    </row>
    <row r="60" spans="2:16" x14ac:dyDescent="0.2">
      <c r="B60" t="s">
        <v>87</v>
      </c>
      <c r="P60" s="19">
        <f>IF(P29=0,"",P31/P29)</f>
        <v>0.42307692307692307</v>
      </c>
    </row>
    <row r="61" spans="2:16" x14ac:dyDescent="0.2">
      <c r="B61" t="s">
        <v>88</v>
      </c>
      <c r="P61" s="19">
        <f>IF(P29=0,"",P38/P29)</f>
        <v>0.12115384615384615</v>
      </c>
    </row>
    <row r="62" spans="2:16" x14ac:dyDescent="0.2">
      <c r="B62" t="s">
        <v>89</v>
      </c>
      <c r="P62" s="19">
        <f>IF(P12=0,"",SUM(P22:P23)/P12)</f>
        <v>0.4768</v>
      </c>
    </row>
    <row r="63" spans="2:16" x14ac:dyDescent="0.2">
      <c r="B63" t="s">
        <v>90</v>
      </c>
      <c r="P63" s="19">
        <f>IF(SUM(P22:P23)=0,"",P38/SUM(P22:P23))</f>
        <v>0.21140939597315436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Equação</vt:lpstr>
      <vt:lpstr>Gabarito Equação</vt:lpstr>
      <vt:lpstr>Plan</vt:lpstr>
      <vt:lpstr>Gabarito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Malucelli</cp:lastModifiedBy>
  <dcterms:created xsi:type="dcterms:W3CDTF">2026-08-10T22:15:44Z</dcterms:created>
  <dcterms:modified xsi:type="dcterms:W3CDTF">2026-08-11T01:23:35Z</dcterms:modified>
</cp:coreProperties>
</file>