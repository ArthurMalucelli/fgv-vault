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ção" sheetId="1" state="visible" r:id="rId1"/>
    <sheet xmlns:r="http://schemas.openxmlformats.org/officeDocument/2006/relationships" name="Plan" sheetId="2" state="visible" r:id="rId2"/>
    <sheet xmlns:r="http://schemas.openxmlformats.org/officeDocument/2006/relationships" name="Gabarito" sheetId="3" state="visible" r:id="rId3"/>
    <sheet xmlns:r="http://schemas.openxmlformats.org/officeDocument/2006/relationships" name="Gabarito Equaçã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;&quot;-&quot;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  <sz val="9"/>
    </font>
    <font>
      <b val="1"/>
    </font>
    <font>
      <i val="1"/>
      <color rgb="00808080"/>
      <sz val="8"/>
    </font>
    <font>
      <b val="1"/>
      <i val="1"/>
      <sz val="9"/>
    </font>
    <font>
      <b val="1"/>
      <i val="1"/>
    </font>
    <font>
      <b val="1"/>
      <color rgb="00C00000"/>
    </font>
    <font>
      <b val="1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4" borderId="1" pivotButton="0" quotePrefix="0" xfId="0"/>
    <xf numFmtId="164" fontId="0" fillId="4" borderId="1" pivotButton="0" quotePrefix="0" xfId="0"/>
    <xf numFmtId="0" fontId="0" fillId="0" borderId="0" applyAlignment="1" pivotButton="0" quotePrefix="0" xfId="0">
      <alignment horizontal="center"/>
    </xf>
    <xf numFmtId="0" fontId="5" fillId="0" borderId="0" pivotButton="0" quotePrefix="0" xfId="0"/>
    <xf numFmtId="0" fontId="4" fillId="0" borderId="0" applyAlignment="1" pivotButton="0" quotePrefix="0" xfId="0">
      <alignment vertical="bottom" wrapText="1"/>
    </xf>
    <xf numFmtId="0" fontId="3" fillId="3" borderId="0" pivotButton="0" quotePrefix="0" xfId="0"/>
    <xf numFmtId="0" fontId="3" fillId="5" borderId="0" pivotButton="0" quotePrefix="0" xfId="0"/>
    <xf numFmtId="0" fontId="6" fillId="0" borderId="0" pivotButton="0" quotePrefix="0" xfId="0"/>
    <xf numFmtId="164" fontId="0" fillId="0" borderId="0" pivotButton="0" quotePrefix="0" xfId="0"/>
    <xf numFmtId="164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164" fontId="3" fillId="5" borderId="0" pivotButton="0" quotePrefix="0" xfId="0"/>
    <xf numFmtId="0" fontId="7" fillId="0" borderId="0" pivotButton="0" quotePrefix="0" xfId="0"/>
    <xf numFmtId="0" fontId="8" fillId="0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24" customWidth="1" min="3" max="3"/>
    <col width="13" customWidth="1" min="4" max="4"/>
    <col width="3" customWidth="1" min="5" max="5"/>
    <col width="24" customWidth="1" min="6" max="6"/>
    <col width="13" customWidth="1" min="7" max="7"/>
    <col width="3" customWidth="1" min="8" max="8"/>
    <col width="20" customWidth="1" min="9" max="9"/>
    <col width="13" customWidth="1" min="10" max="10"/>
    <col width="8" customWidth="1" min="11" max="11"/>
  </cols>
  <sheetData>
    <row r="1">
      <c r="A1" s="1" t="inlineStr">
        <is>
          <t>Cafeteria Grão de Ouro  |  Efeito das transações na Equação do Balanço</t>
        </is>
      </c>
    </row>
    <row r="2">
      <c r="A2" s="2" t="inlineStr">
        <is>
          <t>Uma linha por movimento: escreve a conta e o valor, com sinal. Transação que mexe em três contas do mesmo lado usa as três linhas. A coluna Check acusa se aquela transação fechou.</t>
        </is>
      </c>
    </row>
    <row r="4">
      <c r="A4" s="3" t="inlineStr">
        <is>
          <t>Nº</t>
        </is>
      </c>
      <c r="B4" s="3" t="inlineStr">
        <is>
          <t>Descrição</t>
        </is>
      </c>
      <c r="C4" s="3" t="inlineStr">
        <is>
          <t>ATIVO</t>
        </is>
      </c>
      <c r="D4" s="4" t="n"/>
      <c r="E4" s="3" t="inlineStr">
        <is>
          <t>=</t>
        </is>
      </c>
      <c r="F4" s="3" t="inlineStr">
        <is>
          <t>PASSIVO</t>
        </is>
      </c>
      <c r="G4" s="4" t="n"/>
      <c r="H4" s="3" t="inlineStr">
        <is>
          <t>+</t>
        </is>
      </c>
      <c r="I4" s="3" t="inlineStr">
        <is>
          <t>PATRIMÔNIO LÍQUIDO</t>
        </is>
      </c>
      <c r="J4" s="4" t="n"/>
      <c r="K4" s="3" t="inlineStr">
        <is>
          <t>Check</t>
        </is>
      </c>
    </row>
    <row r="5">
      <c r="C5" s="5" t="inlineStr">
        <is>
          <t>conta</t>
        </is>
      </c>
      <c r="D5" s="5" t="inlineStr">
        <is>
          <t>valor</t>
        </is>
      </c>
      <c r="F5" s="5" t="inlineStr">
        <is>
          <t>conta</t>
        </is>
      </c>
      <c r="G5" s="5" t="inlineStr">
        <is>
          <t>valor</t>
        </is>
      </c>
      <c r="I5" s="5" t="inlineStr">
        <is>
          <t>conta</t>
        </is>
      </c>
      <c r="J5" s="5" t="inlineStr">
        <is>
          <t>valor</t>
        </is>
      </c>
    </row>
    <row r="6">
      <c r="A6" s="6" t="n">
        <v>1</v>
      </c>
      <c r="B6" s="7" t="inlineStr">
        <is>
          <t>Integralização de capital de R$ 80.000 em dinheiro</t>
        </is>
      </c>
      <c r="C6" s="8" t="n"/>
      <c r="D6" s="9" t="n"/>
      <c r="E6" s="10" t="inlineStr">
        <is>
          <t>=</t>
        </is>
      </c>
      <c r="F6" s="8" t="n"/>
      <c r="G6" s="9" t="n"/>
      <c r="H6" s="10" t="inlineStr">
        <is>
          <t>+</t>
        </is>
      </c>
      <c r="I6" s="8" t="n"/>
      <c r="J6" s="9" t="n"/>
      <c r="K6" s="6">
        <f>IF(COUNT(D6:D7,G6:G7,J6:J7)=0,"",IF(SUM(D6:D7)-SUM(G6:G7)-SUM(J6:J7)=0,"✔","✗"))</f>
        <v/>
      </c>
    </row>
    <row r="7">
      <c r="C7" s="8" t="n"/>
      <c r="D7" s="9" t="n"/>
      <c r="E7" s="10" t="inlineStr">
        <is>
          <t>=</t>
        </is>
      </c>
      <c r="F7" s="8" t="n"/>
      <c r="G7" s="9" t="n"/>
      <c r="H7" s="10" t="inlineStr">
        <is>
          <t>+</t>
        </is>
      </c>
      <c r="I7" s="8" t="n"/>
      <c r="J7" s="9" t="n"/>
    </row>
    <row r="8">
      <c r="A8" s="6" t="n">
        <v>2</v>
      </c>
      <c r="B8" s="7" t="inlineStr">
        <is>
          <t>Compra à vista de máquina de espresso e mobiliário por R$ 30.000</t>
        </is>
      </c>
      <c r="C8" s="8" t="n"/>
      <c r="D8" s="9" t="n"/>
      <c r="E8" s="10" t="inlineStr">
        <is>
          <t>=</t>
        </is>
      </c>
      <c r="F8" s="8" t="n"/>
      <c r="G8" s="9" t="n"/>
      <c r="H8" s="10" t="inlineStr">
        <is>
          <t>+</t>
        </is>
      </c>
      <c r="I8" s="8" t="n"/>
      <c r="J8" s="9" t="n"/>
      <c r="K8" s="6">
        <f>IF(COUNT(D8:D9,G8:G9,J8:J9)=0,"",IF(SUM(D8:D9)-SUM(G8:G9)-SUM(J8:J9)=0,"✔","✗"))</f>
        <v/>
      </c>
    </row>
    <row r="9">
      <c r="C9" s="8" t="n"/>
      <c r="D9" s="9" t="n"/>
      <c r="E9" s="10" t="inlineStr">
        <is>
          <t>=</t>
        </is>
      </c>
      <c r="F9" s="8" t="n"/>
      <c r="G9" s="9" t="n"/>
      <c r="H9" s="10" t="inlineStr">
        <is>
          <t>+</t>
        </is>
      </c>
      <c r="I9" s="8" t="n"/>
      <c r="J9" s="9" t="n"/>
    </row>
    <row r="10">
      <c r="A10" s="6" t="n">
        <v>3</v>
      </c>
      <c r="B10" s="7" t="inlineStr">
        <is>
          <t>Compra de café e insumos por R$ 24.000, metade à vista e metade a prazo</t>
        </is>
      </c>
      <c r="C10" s="8" t="n"/>
      <c r="D10" s="9" t="n"/>
      <c r="E10" s="10" t="inlineStr">
        <is>
          <t>=</t>
        </is>
      </c>
      <c r="F10" s="8" t="n"/>
      <c r="G10" s="9" t="n"/>
      <c r="H10" s="10" t="inlineStr">
        <is>
          <t>+</t>
        </is>
      </c>
      <c r="I10" s="8" t="n"/>
      <c r="J10" s="9" t="n"/>
      <c r="K10" s="6">
        <f>IF(COUNT(D10:D11,G10:G11,J10:J11)=0,"",IF(SUM(D10:D11)-SUM(G10:G11)-SUM(J10:J11)=0,"✔","✗"))</f>
        <v/>
      </c>
    </row>
    <row r="11">
      <c r="C11" s="8" t="n"/>
      <c r="D11" s="9" t="n"/>
      <c r="E11" s="10" t="inlineStr">
        <is>
          <t>=</t>
        </is>
      </c>
      <c r="F11" s="8" t="n"/>
      <c r="G11" s="9" t="n"/>
      <c r="H11" s="10" t="inlineStr">
        <is>
          <t>+</t>
        </is>
      </c>
      <c r="I11" s="8" t="n"/>
      <c r="J11" s="9" t="n"/>
    </row>
    <row r="12">
      <c r="A12" s="6" t="n">
        <v>4</v>
      </c>
      <c r="B12" s="7" t="inlineStr">
        <is>
          <t>Venda de metade do estoque por R$ 27.000 à vista (custo de R$ 12.000)</t>
        </is>
      </c>
      <c r="C12" s="8" t="n"/>
      <c r="D12" s="9" t="n"/>
      <c r="E12" s="10" t="inlineStr">
        <is>
          <t>=</t>
        </is>
      </c>
      <c r="F12" s="8" t="n"/>
      <c r="G12" s="9" t="n"/>
      <c r="H12" s="10" t="inlineStr">
        <is>
          <t>+</t>
        </is>
      </c>
      <c r="I12" s="8" t="n"/>
      <c r="J12" s="9" t="n"/>
      <c r="K12" s="6">
        <f>IF(COUNT(D12:D13,G12:G13,J12:J13)=0,"",IF(SUM(D12:D13)-SUM(G12:G13)-SUM(J12:J13)=0,"✔","✗"))</f>
        <v/>
      </c>
    </row>
    <row r="13">
      <c r="C13" s="8" t="n"/>
      <c r="D13" s="9" t="n"/>
      <c r="E13" s="10" t="inlineStr">
        <is>
          <t>=</t>
        </is>
      </c>
      <c r="F13" s="8" t="n"/>
      <c r="G13" s="9" t="n"/>
      <c r="H13" s="10" t="inlineStr">
        <is>
          <t>+</t>
        </is>
      </c>
      <c r="I13" s="8" t="n"/>
      <c r="J13" s="9" t="n"/>
    </row>
    <row r="14">
      <c r="A14" s="6" t="n">
        <v>5</v>
      </c>
      <c r="B14" s="7" t="inlineStr">
        <is>
          <t>Pagamento de salários e aluguel do mês, R$ 6.000 à vista</t>
        </is>
      </c>
      <c r="C14" s="8" t="n"/>
      <c r="D14" s="9" t="n"/>
      <c r="E14" s="10" t="inlineStr">
        <is>
          <t>=</t>
        </is>
      </c>
      <c r="F14" s="8" t="n"/>
      <c r="G14" s="9" t="n"/>
      <c r="H14" s="10" t="inlineStr">
        <is>
          <t>+</t>
        </is>
      </c>
      <c r="I14" s="8" t="n"/>
      <c r="J14" s="9" t="n"/>
      <c r="K14" s="6">
        <f>IF(COUNT(D14:D15,G14:G15,J14:J15)=0,"",IF(SUM(D14:D15)-SUM(G14:G15)-SUM(J14:J15)=0,"✔","✗"))</f>
        <v/>
      </c>
    </row>
    <row r="15">
      <c r="C15" s="8" t="n"/>
      <c r="D15" s="9" t="n"/>
      <c r="E15" s="10" t="inlineStr">
        <is>
          <t>=</t>
        </is>
      </c>
      <c r="F15" s="8" t="n"/>
      <c r="G15" s="9" t="n"/>
      <c r="H15" s="10" t="inlineStr">
        <is>
          <t>+</t>
        </is>
      </c>
      <c r="I15" s="8" t="n"/>
      <c r="J15" s="9" t="n"/>
    </row>
    <row r="16">
      <c r="A16" s="6" t="n">
        <v>6</v>
      </c>
      <c r="B16" s="7" t="inlineStr">
        <is>
          <t>Pagamento de metade do que devia aos fornecedores</t>
        </is>
      </c>
      <c r="C16" s="8" t="n"/>
      <c r="D16" s="9" t="n"/>
      <c r="E16" s="10" t="inlineStr">
        <is>
          <t>=</t>
        </is>
      </c>
      <c r="F16" s="8" t="n"/>
      <c r="G16" s="9" t="n"/>
      <c r="H16" s="10" t="inlineStr">
        <is>
          <t>+</t>
        </is>
      </c>
      <c r="I16" s="8" t="n"/>
      <c r="J16" s="9" t="n"/>
      <c r="K16" s="6">
        <f>IF(COUNT(D16:D17,G16:G17,J16:J17)=0,"",IF(SUM(D16:D17)-SUM(G16:G17)-SUM(J16:J17)=0,"✔","✗"))</f>
        <v/>
      </c>
    </row>
    <row r="17">
      <c r="C17" s="8" t="n"/>
      <c r="D17" s="9" t="n"/>
      <c r="E17" s="10" t="inlineStr">
        <is>
          <t>=</t>
        </is>
      </c>
      <c r="F17" s="8" t="n"/>
      <c r="G17" s="9" t="n"/>
      <c r="H17" s="10" t="inlineStr">
        <is>
          <t>+</t>
        </is>
      </c>
      <c r="I17" s="8" t="n"/>
      <c r="J17" s="9" t="n"/>
    </row>
  </sheetData>
  <mergeCells count="22">
    <mergeCell ref="F4:G4"/>
    <mergeCell ref="B12:B13"/>
    <mergeCell ref="B8:B9"/>
    <mergeCell ref="A16:A17"/>
    <mergeCell ref="A6:A7"/>
    <mergeCell ref="B14:B15"/>
    <mergeCell ref="C4:D4"/>
    <mergeCell ref="A12:A13"/>
    <mergeCell ref="K12:K13"/>
    <mergeCell ref="B10:B11"/>
    <mergeCell ref="B6:B7"/>
    <mergeCell ref="A14:A15"/>
    <mergeCell ref="A1:D1"/>
    <mergeCell ref="A8:A9"/>
    <mergeCell ref="K14:K15"/>
    <mergeCell ref="K8:K9"/>
    <mergeCell ref="A10:A11"/>
    <mergeCell ref="K10:K11"/>
    <mergeCell ref="I4:J4"/>
    <mergeCell ref="K16:K17"/>
    <mergeCell ref="K6:K7"/>
    <mergeCell ref="B16:B17"/>
  </mergeCells>
  <dataValidations count="3">
    <dataValidation sqref="C6 C7 C8 C9 C10 C11 C12 C13 C14 C15 C16 C17" showDropDown="0" showInputMessage="0" showErrorMessage="0" allowBlank="1" type="list">
      <formula1>"Caixa,Estoque,Imobilizado"</formula1>
    </dataValidation>
    <dataValidation sqref="F6 F7 F8 F9 F10 F11 F12 F13 F14 F15 F16 F17" showDropDown="0" showInputMessage="0" showErrorMessage="0" allowBlank="1" type="list">
      <formula1>"Contas a Pagar"</formula1>
    </dataValidation>
    <dataValidation sqref="I6 I7 I8 I9 I10 I11 I12 I13 I14 I15 I16 I17" showDropDown="0" showInputMessage="0" showErrorMessage="0" allowBlank="1" type="list">
      <formula1>"Capital Social,Lucros Acumulados"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L47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3" customWidth="1" min="11" max="11"/>
    <col width="13" customWidth="1" min="12" max="12"/>
  </cols>
  <sheetData>
    <row r="1">
      <c r="B1" s="1" t="inlineStr">
        <is>
          <t>Cafeteria Grão de Ouro</t>
        </is>
      </c>
      <c r="D1" s="11" t="inlineStr">
        <is>
          <t>Transações, por Número e Descrição</t>
        </is>
      </c>
    </row>
    <row r="2" ht="42" customHeight="1">
      <c r="B2" s="2" t="inlineStr">
        <is>
          <t>Mês 1  |  valores em R$</t>
        </is>
      </c>
      <c r="D2" s="12" t="inlineStr">
        <is>
          <t>Integralização de capital de R$ 80.000 em dinheiro</t>
        </is>
      </c>
      <c r="E2" s="12" t="inlineStr">
        <is>
          <t>Compra à vista de máquina de espresso e mobiliário por R$ 30</t>
        </is>
      </c>
      <c r="F2" s="12" t="inlineStr">
        <is>
          <t>Compra de café e insumos por R$ 24.000, metade à vista e met</t>
        </is>
      </c>
      <c r="G2" s="12" t="inlineStr">
        <is>
          <t>Venda de metade do estoque por R$ 27.000 à vista (custo de R</t>
        </is>
      </c>
      <c r="H2" s="12" t="inlineStr">
        <is>
          <t>Pagamento de salários e aluguel do mês, R$ 6.000 à vista</t>
        </is>
      </c>
      <c r="I2" s="12" t="inlineStr">
        <is>
          <t>Pagamento de metade do que devia aos fornecedores</t>
        </is>
      </c>
    </row>
    <row r="3">
      <c r="B3" s="13" t="inlineStr">
        <is>
          <t>Balanço Patrimonial</t>
        </is>
      </c>
      <c r="C3" s="13" t="inlineStr">
        <is>
          <t>Balanço Inicial</t>
        </is>
      </c>
      <c r="D3" s="3" t="n">
        <v>1</v>
      </c>
      <c r="E3" s="3" t="n">
        <v>2</v>
      </c>
      <c r="F3" s="3" t="n">
        <v>3</v>
      </c>
      <c r="G3" s="3" t="n">
        <v>4</v>
      </c>
      <c r="H3" s="3" t="n">
        <v>5</v>
      </c>
      <c r="I3" s="3" t="n">
        <v>6</v>
      </c>
      <c r="J3" s="13" t="inlineStr">
        <is>
          <t>Balanço Final</t>
        </is>
      </c>
    </row>
    <row r="4">
      <c r="B4" s="14" t="inlineStr">
        <is>
          <t>ATIVO</t>
        </is>
      </c>
    </row>
    <row r="5">
      <c r="B5" s="15" t="inlineStr">
        <is>
          <t>Ativo Circulante</t>
        </is>
      </c>
    </row>
    <row r="6">
      <c r="B6" t="inlineStr">
        <is>
          <t>Caixa</t>
        </is>
      </c>
      <c r="C6" s="16" t="n"/>
      <c r="D6" s="9" t="n"/>
      <c r="E6" s="9" t="n"/>
      <c r="F6" s="9" t="n"/>
      <c r="G6" s="9" t="n"/>
      <c r="H6" s="9" t="n"/>
      <c r="I6" s="9" t="n"/>
      <c r="J6" s="17">
        <f>C6+SUM(D6:I6)</f>
        <v/>
      </c>
      <c r="L6" s="18">
        <f>IF(COUNT(D6:I6)=0,"",IF(ABS(J6-Gabarito!J6)&lt;0.5,"✔","✗"))</f>
        <v/>
      </c>
    </row>
    <row r="7">
      <c r="B7" t="inlineStr">
        <is>
          <t>Estoque</t>
        </is>
      </c>
      <c r="C7" s="16" t="n"/>
      <c r="D7" s="9" t="n"/>
      <c r="E7" s="9" t="n"/>
      <c r="F7" s="9" t="n"/>
      <c r="G7" s="9" t="n"/>
      <c r="H7" s="9" t="n"/>
      <c r="I7" s="9" t="n"/>
      <c r="J7" s="17">
        <f>C7+SUM(D7:I7)</f>
        <v/>
      </c>
      <c r="L7" s="18">
        <f>IF(COUNT(D7:I7)=0,"",IF(ABS(J7-Gabarito!J7)&lt;0.5,"✔","✗"))</f>
        <v/>
      </c>
    </row>
    <row r="8">
      <c r="B8" s="15" t="inlineStr">
        <is>
          <t>Ativo Não Circulante</t>
        </is>
      </c>
    </row>
    <row r="9">
      <c r="B9" t="inlineStr">
        <is>
          <t>Imobilizado</t>
        </is>
      </c>
      <c r="C9" s="16" t="n"/>
      <c r="D9" s="9" t="n"/>
      <c r="E9" s="9" t="n"/>
      <c r="F9" s="9" t="n"/>
      <c r="G9" s="9" t="n"/>
      <c r="H9" s="9" t="n"/>
      <c r="I9" s="9" t="n"/>
      <c r="J9" s="17">
        <f>C9+SUM(D9:I9)</f>
        <v/>
      </c>
      <c r="L9" s="18">
        <f>IF(COUNT(D9:I9)=0,"",IF(ABS(J9-Gabarito!J9)&lt;0.5,"✔","✗"))</f>
        <v/>
      </c>
    </row>
    <row r="10">
      <c r="B10" s="19" t="inlineStr">
        <is>
          <t xml:space="preserve">  Total do Ativo</t>
        </is>
      </c>
      <c r="C10" s="20">
        <f>SUM(C6:C9)</f>
        <v/>
      </c>
      <c r="D10" s="20">
        <f>SUM(D6:D9)</f>
        <v/>
      </c>
      <c r="E10" s="20">
        <f>SUM(E6:E9)</f>
        <v/>
      </c>
      <c r="F10" s="20">
        <f>SUM(F6:F9)</f>
        <v/>
      </c>
      <c r="G10" s="20">
        <f>SUM(G6:G9)</f>
        <v/>
      </c>
      <c r="H10" s="20">
        <f>SUM(H6:H9)</f>
        <v/>
      </c>
      <c r="I10" s="20">
        <f>SUM(I6:I9)</f>
        <v/>
      </c>
      <c r="J10" s="20">
        <f>SUM(J6:J9)</f>
        <v/>
      </c>
    </row>
    <row r="11">
      <c r="B11" s="14" t="inlineStr">
        <is>
          <t>PASSIVO E PATRIM. LÍQUIDO</t>
        </is>
      </c>
    </row>
    <row r="12">
      <c r="B12" s="15" t="inlineStr">
        <is>
          <t>Passivo Circulante:</t>
        </is>
      </c>
    </row>
    <row r="13">
      <c r="B13" t="inlineStr">
        <is>
          <t>Contas a Pagar</t>
        </is>
      </c>
      <c r="C13" s="16" t="n"/>
      <c r="D13" s="9" t="n"/>
      <c r="E13" s="9" t="n"/>
      <c r="F13" s="9" t="n"/>
      <c r="G13" s="9" t="n"/>
      <c r="H13" s="9" t="n"/>
      <c r="I13" s="9" t="n"/>
      <c r="J13" s="17">
        <f>C13+SUM(D13:I13)</f>
        <v/>
      </c>
      <c r="L13" s="18">
        <f>IF(COUNT(D13:I13)=0,"",IF(ABS(J13-Gabarito!J13)&lt;0.5,"✔","✗"))</f>
        <v/>
      </c>
    </row>
    <row r="14">
      <c r="B14" s="15" t="inlineStr">
        <is>
          <t>Patrimônio Líquido:</t>
        </is>
      </c>
    </row>
    <row r="15">
      <c r="B15" t="inlineStr">
        <is>
          <t>Capital Social</t>
        </is>
      </c>
      <c r="C15" s="16" t="n"/>
      <c r="D15" s="9" t="n"/>
      <c r="E15" s="9" t="n"/>
      <c r="F15" s="9" t="n"/>
      <c r="G15" s="9" t="n"/>
      <c r="H15" s="9" t="n"/>
      <c r="I15" s="9" t="n"/>
      <c r="J15" s="17">
        <f>C15+SUM(D15:I15)</f>
        <v/>
      </c>
      <c r="L15" s="18">
        <f>IF(COUNT(D15:I15)=0,"",IF(ABS(J15-Gabarito!J15)&lt;0.5,"✔","✗"))</f>
        <v/>
      </c>
    </row>
    <row r="16">
      <c r="B16" t="inlineStr">
        <is>
          <t>Lucros Acumulados</t>
        </is>
      </c>
      <c r="C16" s="16" t="n"/>
      <c r="D16" s="9" t="n"/>
      <c r="E16" s="9" t="n"/>
      <c r="F16" s="9" t="n"/>
      <c r="G16" s="9" t="n"/>
      <c r="H16" s="9" t="n"/>
      <c r="I16" s="9" t="n"/>
      <c r="J16" s="17">
        <f>C16+SUM(D16:I16)</f>
        <v/>
      </c>
      <c r="L16" s="18">
        <f>IF(COUNT(D16:I16)=0,"",IF(ABS(J16-Gabarito!J16)&lt;0.5,"✔","✗"))</f>
        <v/>
      </c>
    </row>
    <row r="17">
      <c r="B17" s="19" t="inlineStr">
        <is>
          <t>Total Passivo e Patrim. Líquido</t>
        </is>
      </c>
      <c r="C17" s="20">
        <f>SUM(C12:C16)</f>
        <v/>
      </c>
      <c r="D17" s="20">
        <f>SUM(D12:D16)</f>
        <v/>
      </c>
      <c r="E17" s="20">
        <f>SUM(E12:E16)</f>
        <v/>
      </c>
      <c r="F17" s="20">
        <f>SUM(F12:F16)</f>
        <v/>
      </c>
      <c r="G17" s="20">
        <f>SUM(G12:G16)</f>
        <v/>
      </c>
      <c r="H17" s="20">
        <f>SUM(H12:H16)</f>
        <v/>
      </c>
      <c r="I17" s="20">
        <f>SUM(I12:I16)</f>
        <v/>
      </c>
      <c r="J17" s="20">
        <f>SUM(J12:J16)</f>
        <v/>
      </c>
    </row>
    <row r="19">
      <c r="B19" s="21" t="inlineStr">
        <is>
          <t>Diferença, se houver (tem que dar zero)</t>
        </is>
      </c>
      <c r="C19" s="17">
        <f>C10-C17</f>
        <v/>
      </c>
      <c r="D19" s="17">
        <f>D10-D17</f>
        <v/>
      </c>
      <c r="E19" s="17">
        <f>E10-E17</f>
        <v/>
      </c>
      <c r="F19" s="17">
        <f>F10-F17</f>
        <v/>
      </c>
      <c r="G19" s="17">
        <f>G10-G17</f>
        <v/>
      </c>
      <c r="H19" s="17">
        <f>H10-H17</f>
        <v/>
      </c>
      <c r="I19" s="17">
        <f>I10-I17</f>
        <v/>
      </c>
      <c r="J19" s="17">
        <f>J10-J17</f>
        <v/>
      </c>
      <c r="L19" s="19">
        <f>IF(J19=0,"✔ fecha","✗ não fecha")</f>
        <v/>
      </c>
    </row>
    <row r="21">
      <c r="B21" s="13" t="inlineStr">
        <is>
          <t>Demonstração do Resultado</t>
        </is>
      </c>
      <c r="D21" s="3" t="n">
        <v>1</v>
      </c>
      <c r="E21" s="3" t="n">
        <v>2</v>
      </c>
      <c r="F21" s="3" t="n">
        <v>3</v>
      </c>
      <c r="G21" s="3" t="n">
        <v>4</v>
      </c>
      <c r="H21" s="3" t="n">
        <v>5</v>
      </c>
      <c r="I21" s="3" t="n">
        <v>6</v>
      </c>
      <c r="J21" s="13" t="inlineStr">
        <is>
          <t>Mês 1</t>
        </is>
      </c>
      <c r="L21" s="22" t="inlineStr">
        <is>
          <t>Check</t>
        </is>
      </c>
    </row>
    <row r="22">
      <c r="B22" t="inlineStr">
        <is>
          <t>Receita de Vendas</t>
        </is>
      </c>
      <c r="D22" s="9" t="n"/>
      <c r="E22" s="9" t="n"/>
      <c r="F22" s="9" t="n"/>
      <c r="G22" s="9" t="n"/>
      <c r="H22" s="9" t="n"/>
      <c r="I22" s="9" t="n"/>
      <c r="J22" s="17">
        <f>SUM(D22:I22)</f>
        <v/>
      </c>
      <c r="L22" s="18">
        <f>IF(COUNT(D22:I22)=0,"",IF(ABS(J22-Gabarito!J22)&lt;0.5,"✔","✗"))</f>
        <v/>
      </c>
    </row>
    <row r="23">
      <c r="B23" t="inlineStr">
        <is>
          <t>(-) Custo das Mercadorias Vendidas</t>
        </is>
      </c>
      <c r="D23" s="9" t="n"/>
      <c r="E23" s="9" t="n"/>
      <c r="F23" s="9" t="n"/>
      <c r="G23" s="9" t="n"/>
      <c r="H23" s="9" t="n"/>
      <c r="I23" s="9" t="n"/>
      <c r="J23" s="17">
        <f>SUM(D23:I23)</f>
        <v/>
      </c>
      <c r="L23" s="18">
        <f>IF(COUNT(D23:I23)=0,"",IF(ABS(J23-Gabarito!J23)&lt;0.5,"✔","✗"))</f>
        <v/>
      </c>
    </row>
    <row r="24">
      <c r="B24" s="19" t="inlineStr">
        <is>
          <t xml:space="preserve">     (=) Lucro Bruto</t>
        </is>
      </c>
      <c r="D24" s="20">
        <f>SUM(D22:D23)</f>
        <v/>
      </c>
      <c r="E24" s="20">
        <f>SUM(E22:E23)</f>
        <v/>
      </c>
      <c r="F24" s="20">
        <f>SUM(F22:F23)</f>
        <v/>
      </c>
      <c r="G24" s="20">
        <f>SUM(G22:G23)</f>
        <v/>
      </c>
      <c r="H24" s="20">
        <f>SUM(H22:H23)</f>
        <v/>
      </c>
      <c r="I24" s="20">
        <f>SUM(I22:I23)</f>
        <v/>
      </c>
      <c r="J24" s="20">
        <f>SUM(J22:J23)</f>
        <v/>
      </c>
    </row>
    <row r="25">
      <c r="B25" t="inlineStr">
        <is>
          <t>(-) Despesas Operacionais</t>
        </is>
      </c>
      <c r="D25" s="9" t="n"/>
      <c r="E25" s="9" t="n"/>
      <c r="F25" s="9" t="n"/>
      <c r="G25" s="9" t="n"/>
      <c r="H25" s="9" t="n"/>
      <c r="I25" s="9" t="n"/>
      <c r="J25" s="17">
        <f>SUM(D25:I25)</f>
        <v/>
      </c>
      <c r="L25" s="18">
        <f>IF(COUNT(D25:I25)=0,"",IF(ABS(J25-Gabarito!J25)&lt;0.5,"✔","✗"))</f>
        <v/>
      </c>
    </row>
    <row r="26">
      <c r="B26" s="19" t="inlineStr">
        <is>
          <t xml:space="preserve">     (=) EBIT e Lucro Líquido</t>
        </is>
      </c>
      <c r="D26" s="20">
        <f>SUM(D24:D25)</f>
        <v/>
      </c>
      <c r="E26" s="20">
        <f>SUM(E24:E25)</f>
        <v/>
      </c>
      <c r="F26" s="20">
        <f>SUM(F24:F25)</f>
        <v/>
      </c>
      <c r="G26" s="20">
        <f>SUM(G24:G25)</f>
        <v/>
      </c>
      <c r="H26" s="20">
        <f>SUM(H24:H25)</f>
        <v/>
      </c>
      <c r="I26" s="20">
        <f>SUM(I24:I25)</f>
        <v/>
      </c>
      <c r="J26" s="20">
        <f>SUM(J24:J25)</f>
        <v/>
      </c>
    </row>
    <row r="28">
      <c r="B28" s="13" t="inlineStr">
        <is>
          <t>Demonstração dos Fluxos de Caixa</t>
        </is>
      </c>
      <c r="D28" s="3" t="n">
        <v>1</v>
      </c>
      <c r="E28" s="3" t="n">
        <v>2</v>
      </c>
      <c r="F28" s="3" t="n">
        <v>3</v>
      </c>
      <c r="G28" s="3" t="n">
        <v>4</v>
      </c>
      <c r="H28" s="3" t="n">
        <v>5</v>
      </c>
      <c r="I28" s="3" t="n">
        <v>6</v>
      </c>
      <c r="J28" s="13" t="inlineStr">
        <is>
          <t>Mês 1</t>
        </is>
      </c>
    </row>
    <row r="29">
      <c r="B29" s="19" t="inlineStr">
        <is>
          <t>OPERAÇÕES</t>
        </is>
      </c>
      <c r="D29" s="20">
        <f>SUM(D30:D32)</f>
        <v/>
      </c>
      <c r="E29" s="20">
        <f>SUM(E30:E32)</f>
        <v/>
      </c>
      <c r="F29" s="20">
        <f>SUM(F30:F32)</f>
        <v/>
      </c>
      <c r="G29" s="20">
        <f>SUM(G30:G32)</f>
        <v/>
      </c>
      <c r="H29" s="20">
        <f>SUM(H30:H32)</f>
        <v/>
      </c>
      <c r="I29" s="20">
        <f>SUM(I30:I32)</f>
        <v/>
      </c>
      <c r="J29" s="20">
        <f>SUM(J30:J32)</f>
        <v/>
      </c>
    </row>
    <row r="30">
      <c r="B30" t="inlineStr">
        <is>
          <t>Recebimentos de Clientes</t>
        </is>
      </c>
      <c r="D30" s="9" t="n"/>
      <c r="E30" s="9" t="n"/>
      <c r="F30" s="9" t="n"/>
      <c r="G30" s="9" t="n"/>
      <c r="H30" s="9" t="n"/>
      <c r="I30" s="9" t="n"/>
      <c r="J30" s="17">
        <f>SUM(D30:I30)</f>
        <v/>
      </c>
      <c r="L30" s="18">
        <f>IF(COUNT(D30:I30)=0,"",IF(ABS(J30-Gabarito!J30)&lt;0.5,"✔","✗"))</f>
        <v/>
      </c>
    </row>
    <row r="31">
      <c r="B31" t="inlineStr">
        <is>
          <t>Pagamentos a Fornecedores</t>
        </is>
      </c>
      <c r="D31" s="9" t="n"/>
      <c r="E31" s="9" t="n"/>
      <c r="F31" s="9" t="n"/>
      <c r="G31" s="9" t="n"/>
      <c r="H31" s="9" t="n"/>
      <c r="I31" s="9" t="n"/>
      <c r="J31" s="17">
        <f>SUM(D31:I31)</f>
        <v/>
      </c>
      <c r="L31" s="18">
        <f>IF(COUNT(D31:I31)=0,"",IF(ABS(J31-Gabarito!J31)&lt;0.5,"✔","✗"))</f>
        <v/>
      </c>
    </row>
    <row r="32">
      <c r="B32" t="inlineStr">
        <is>
          <t>Pagamentos de Despesas</t>
        </is>
      </c>
      <c r="D32" s="9" t="n"/>
      <c r="E32" s="9" t="n"/>
      <c r="F32" s="9" t="n"/>
      <c r="G32" s="9" t="n"/>
      <c r="H32" s="9" t="n"/>
      <c r="I32" s="9" t="n"/>
      <c r="J32" s="17">
        <f>SUM(D32:I32)</f>
        <v/>
      </c>
      <c r="L32" s="18">
        <f>IF(COUNT(D32:I32)=0,"",IF(ABS(J32-Gabarito!J32)&lt;0.5,"✔","✗"))</f>
        <v/>
      </c>
    </row>
    <row r="33">
      <c r="B33" s="19" t="inlineStr">
        <is>
          <t>INVESTIMENTOS</t>
        </is>
      </c>
      <c r="D33" s="20">
        <f>SUM(D34:D34)</f>
        <v/>
      </c>
      <c r="E33" s="20">
        <f>SUM(E34:E34)</f>
        <v/>
      </c>
      <c r="F33" s="20">
        <f>SUM(F34:F34)</f>
        <v/>
      </c>
      <c r="G33" s="20">
        <f>SUM(G34:G34)</f>
        <v/>
      </c>
      <c r="H33" s="20">
        <f>SUM(H34:H34)</f>
        <v/>
      </c>
      <c r="I33" s="20">
        <f>SUM(I34:I34)</f>
        <v/>
      </c>
      <c r="J33" s="20">
        <f>SUM(J34:J34)</f>
        <v/>
      </c>
    </row>
    <row r="34">
      <c r="B34" t="inlineStr">
        <is>
          <t>Aquisição de Imobilizado</t>
        </is>
      </c>
      <c r="D34" s="9" t="n"/>
      <c r="E34" s="9" t="n"/>
      <c r="F34" s="9" t="n"/>
      <c r="G34" s="9" t="n"/>
      <c r="H34" s="9" t="n"/>
      <c r="I34" s="9" t="n"/>
      <c r="J34" s="17">
        <f>SUM(D34:I34)</f>
        <v/>
      </c>
      <c r="L34" s="18">
        <f>IF(COUNT(D34:I34)=0,"",IF(ABS(J34-Gabarito!J34)&lt;0.5,"✔","✗"))</f>
        <v/>
      </c>
    </row>
    <row r="35">
      <c r="B35" s="19" t="inlineStr">
        <is>
          <t>FINANCIAMENTOS</t>
        </is>
      </c>
      <c r="D35" s="20">
        <f>SUM(D36:D36)</f>
        <v/>
      </c>
      <c r="E35" s="20">
        <f>SUM(E36:E36)</f>
        <v/>
      </c>
      <c r="F35" s="20">
        <f>SUM(F36:F36)</f>
        <v/>
      </c>
      <c r="G35" s="20">
        <f>SUM(G36:G36)</f>
        <v/>
      </c>
      <c r="H35" s="20">
        <f>SUM(H36:H36)</f>
        <v/>
      </c>
      <c r="I35" s="20">
        <f>SUM(I36:I36)</f>
        <v/>
      </c>
      <c r="J35" s="20">
        <f>SUM(J36:J36)</f>
        <v/>
      </c>
    </row>
    <row r="36">
      <c r="B36" t="inlineStr">
        <is>
          <t>Ingresso de Capital</t>
        </is>
      </c>
      <c r="D36" s="9" t="n"/>
      <c r="E36" s="9" t="n"/>
      <c r="F36" s="9" t="n"/>
      <c r="G36" s="9" t="n"/>
      <c r="H36" s="9" t="n"/>
      <c r="I36" s="9" t="n"/>
      <c r="J36" s="17">
        <f>SUM(D36:I36)</f>
        <v/>
      </c>
      <c r="L36" s="18">
        <f>IF(COUNT(D36:I36)=0,"",IF(ABS(J36-Gabarito!J36)&lt;0.5,"✔","✗"))</f>
        <v/>
      </c>
    </row>
    <row r="37">
      <c r="B37" s="19" t="inlineStr">
        <is>
          <t>VARIAÇÃO NO CAIXA</t>
        </is>
      </c>
      <c r="D37" s="20">
        <f>D29+D33+D35</f>
        <v/>
      </c>
      <c r="E37" s="20">
        <f>E29+E33+E35</f>
        <v/>
      </c>
      <c r="F37" s="20">
        <f>F29+F33+F35</f>
        <v/>
      </c>
      <c r="G37" s="20">
        <f>G29+G33+G35</f>
        <v/>
      </c>
      <c r="H37" s="20">
        <f>H29+H33+H35</f>
        <v/>
      </c>
      <c r="I37" s="20">
        <f>I29+I33+I35</f>
        <v/>
      </c>
      <c r="J37" s="20">
        <f>J29+J33+J35</f>
        <v/>
      </c>
    </row>
    <row r="38">
      <c r="B38" t="inlineStr">
        <is>
          <t xml:space="preserve">    Saldo inicial de caixa</t>
        </is>
      </c>
      <c r="J38" s="16" t="n">
        <v>0</v>
      </c>
    </row>
    <row r="39">
      <c r="B39" s="19" t="inlineStr">
        <is>
          <t xml:space="preserve">    Saldo final de caixa</t>
        </is>
      </c>
      <c r="J39" s="17">
        <f>J38+J37</f>
        <v/>
      </c>
    </row>
    <row r="41">
      <c r="B41" s="21" t="inlineStr">
        <is>
          <t>Caixa final da DFC menos Caixa do BP (tem que dar zero)</t>
        </is>
      </c>
      <c r="J41" s="17">
        <f>J39-J6</f>
        <v/>
      </c>
      <c r="L41" s="19">
        <f>IF(J41=0,"✔ amarra","✗ não amarra")</f>
        <v/>
      </c>
    </row>
    <row r="43">
      <c r="B43" s="13" t="inlineStr">
        <is>
          <t>Indicadores (automáticos)</t>
        </is>
      </c>
    </row>
    <row r="44">
      <c r="B44" t="inlineStr">
        <is>
          <t>Margem bruta</t>
        </is>
      </c>
      <c r="J44" s="23">
        <f>IF(J22=0,"",J24/J22)</f>
        <v/>
      </c>
    </row>
    <row r="45">
      <c r="B45" t="inlineStr">
        <is>
          <t>Margem líquida</t>
        </is>
      </c>
      <c r="J45" s="23">
        <f>IF(J22=0,"",J26/J22)</f>
        <v/>
      </c>
    </row>
    <row r="46">
      <c r="B46" t="inlineStr">
        <is>
          <t>% financiado por capital próprio (PL / Ativo)</t>
        </is>
      </c>
      <c r="J46" s="23">
        <f>IF(J10=0,"",SUM(J15:J16)/J10)</f>
        <v/>
      </c>
    </row>
    <row r="47">
      <c r="B47" t="inlineStr">
        <is>
          <t>ROE (LL / PL final)</t>
        </is>
      </c>
      <c r="J47" s="23">
        <f>IF(SUM(J15:J16)=0,"",J26/SUM(J15:J16))</f>
        <v/>
      </c>
    </row>
  </sheetData>
  <mergeCells count="1">
    <mergeCell ref="B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L47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3" customWidth="1" min="11" max="11"/>
    <col width="13" customWidth="1" min="12" max="12"/>
  </cols>
  <sheetData>
    <row r="1">
      <c r="B1" s="1" t="inlineStr">
        <is>
          <t>Cafeteria Grão de Ouro</t>
        </is>
      </c>
      <c r="D1" s="11" t="inlineStr">
        <is>
          <t>Transações, por Número e Descrição</t>
        </is>
      </c>
    </row>
    <row r="2" ht="42" customHeight="1">
      <c r="B2" s="2" t="inlineStr">
        <is>
          <t>Mês 1  |  valores em R$</t>
        </is>
      </c>
      <c r="D2" s="12" t="inlineStr">
        <is>
          <t>Integralização de capital de R$ 80.000 em dinheiro</t>
        </is>
      </c>
      <c r="E2" s="12" t="inlineStr">
        <is>
          <t>Compra à vista de máquina de espresso e mobiliário por R$ 30</t>
        </is>
      </c>
      <c r="F2" s="12" t="inlineStr">
        <is>
          <t>Compra de café e insumos por R$ 24.000, metade à vista e met</t>
        </is>
      </c>
      <c r="G2" s="12" t="inlineStr">
        <is>
          <t>Venda de metade do estoque por R$ 27.000 à vista (custo de R</t>
        </is>
      </c>
      <c r="H2" s="12" t="inlineStr">
        <is>
          <t>Pagamento de salários e aluguel do mês, R$ 6.000 à vista</t>
        </is>
      </c>
      <c r="I2" s="12" t="inlineStr">
        <is>
          <t>Pagamento de metade do que devia aos fornecedores</t>
        </is>
      </c>
    </row>
    <row r="3">
      <c r="B3" s="13" t="inlineStr">
        <is>
          <t>Balanço Patrimonial</t>
        </is>
      </c>
      <c r="C3" s="13" t="inlineStr">
        <is>
          <t>Balanço Inicial</t>
        </is>
      </c>
      <c r="D3" s="3" t="n">
        <v>1</v>
      </c>
      <c r="E3" s="3" t="n">
        <v>2</v>
      </c>
      <c r="F3" s="3" t="n">
        <v>3</v>
      </c>
      <c r="G3" s="3" t="n">
        <v>4</v>
      </c>
      <c r="H3" s="3" t="n">
        <v>5</v>
      </c>
      <c r="I3" s="3" t="n">
        <v>6</v>
      </c>
      <c r="J3" s="13" t="inlineStr">
        <is>
          <t>Balanço Final</t>
        </is>
      </c>
    </row>
    <row r="4">
      <c r="B4" s="14" t="inlineStr">
        <is>
          <t>ATIVO</t>
        </is>
      </c>
    </row>
    <row r="5">
      <c r="B5" s="15" t="inlineStr">
        <is>
          <t>Ativo Circulante</t>
        </is>
      </c>
    </row>
    <row r="6">
      <c r="B6" t="inlineStr">
        <is>
          <t>Caixa</t>
        </is>
      </c>
      <c r="C6" s="16" t="n"/>
      <c r="D6" s="9" t="n">
        <v>80000</v>
      </c>
      <c r="E6" s="9" t="n">
        <v>-30000</v>
      </c>
      <c r="F6" s="9" t="n">
        <v>-12000</v>
      </c>
      <c r="G6" s="9" t="n">
        <v>27000</v>
      </c>
      <c r="H6" s="9" t="n">
        <v>-6000</v>
      </c>
      <c r="I6" s="9" t="n">
        <v>-6000</v>
      </c>
      <c r="J6" s="17">
        <f>C6+SUM(D6:I6)</f>
        <v/>
      </c>
    </row>
    <row r="7">
      <c r="B7" t="inlineStr">
        <is>
          <t>Estoque</t>
        </is>
      </c>
      <c r="C7" s="16" t="n"/>
      <c r="D7" s="9" t="n"/>
      <c r="E7" s="9" t="n"/>
      <c r="F7" s="9" t="n">
        <v>24000</v>
      </c>
      <c r="G7" s="9" t="n">
        <v>-12000</v>
      </c>
      <c r="H7" s="9" t="n"/>
      <c r="I7" s="9" t="n"/>
      <c r="J7" s="17">
        <f>C7+SUM(D7:I7)</f>
        <v/>
      </c>
    </row>
    <row r="8">
      <c r="B8" s="15" t="inlineStr">
        <is>
          <t>Ativo Não Circulante</t>
        </is>
      </c>
    </row>
    <row r="9">
      <c r="B9" t="inlineStr">
        <is>
          <t>Imobilizado</t>
        </is>
      </c>
      <c r="C9" s="16" t="n"/>
      <c r="D9" s="9" t="n"/>
      <c r="E9" s="9" t="n">
        <v>30000</v>
      </c>
      <c r="F9" s="9" t="n"/>
      <c r="G9" s="9" t="n"/>
      <c r="H9" s="9" t="n"/>
      <c r="I9" s="9" t="n"/>
      <c r="J9" s="17">
        <f>C9+SUM(D9:I9)</f>
        <v/>
      </c>
    </row>
    <row r="10">
      <c r="B10" s="19" t="inlineStr">
        <is>
          <t xml:space="preserve">  Total do Ativo</t>
        </is>
      </c>
      <c r="C10" s="20">
        <f>SUM(C6:C9)</f>
        <v/>
      </c>
      <c r="D10" s="20">
        <f>SUM(D6:D9)</f>
        <v/>
      </c>
      <c r="E10" s="20">
        <f>SUM(E6:E9)</f>
        <v/>
      </c>
      <c r="F10" s="20">
        <f>SUM(F6:F9)</f>
        <v/>
      </c>
      <c r="G10" s="20">
        <f>SUM(G6:G9)</f>
        <v/>
      </c>
      <c r="H10" s="20">
        <f>SUM(H6:H9)</f>
        <v/>
      </c>
      <c r="I10" s="20">
        <f>SUM(I6:I9)</f>
        <v/>
      </c>
      <c r="J10" s="20">
        <f>SUM(J6:J9)</f>
        <v/>
      </c>
    </row>
    <row r="11">
      <c r="B11" s="14" t="inlineStr">
        <is>
          <t>PASSIVO E PATRIM. LÍQUIDO</t>
        </is>
      </c>
    </row>
    <row r="12">
      <c r="B12" s="15" t="inlineStr">
        <is>
          <t>Passivo Circulante:</t>
        </is>
      </c>
    </row>
    <row r="13">
      <c r="B13" t="inlineStr">
        <is>
          <t>Contas a Pagar</t>
        </is>
      </c>
      <c r="C13" s="16" t="n"/>
      <c r="D13" s="9" t="n"/>
      <c r="E13" s="9" t="n"/>
      <c r="F13" s="9" t="n">
        <v>12000</v>
      </c>
      <c r="G13" s="9" t="n"/>
      <c r="H13" s="9" t="n"/>
      <c r="I13" s="9" t="n">
        <v>-6000</v>
      </c>
      <c r="J13" s="17">
        <f>C13+SUM(D13:I13)</f>
        <v/>
      </c>
    </row>
    <row r="14">
      <c r="B14" s="15" t="inlineStr">
        <is>
          <t>Patrimônio Líquido:</t>
        </is>
      </c>
    </row>
    <row r="15">
      <c r="B15" t="inlineStr">
        <is>
          <t>Capital Social</t>
        </is>
      </c>
      <c r="C15" s="16" t="n"/>
      <c r="D15" s="9" t="n">
        <v>80000</v>
      </c>
      <c r="E15" s="9" t="n"/>
      <c r="F15" s="9" t="n"/>
      <c r="G15" s="9" t="n"/>
      <c r="H15" s="9" t="n"/>
      <c r="I15" s="9" t="n"/>
      <c r="J15" s="17">
        <f>C15+SUM(D15:I15)</f>
        <v/>
      </c>
    </row>
    <row r="16">
      <c r="B16" t="inlineStr">
        <is>
          <t>Lucros Acumulados</t>
        </is>
      </c>
      <c r="C16" s="16" t="n"/>
      <c r="D16" s="9" t="n"/>
      <c r="E16" s="9" t="n"/>
      <c r="F16" s="9" t="n"/>
      <c r="G16" s="9" t="n">
        <v>15000</v>
      </c>
      <c r="H16" s="9" t="n">
        <v>-6000</v>
      </c>
      <c r="I16" s="9" t="n"/>
      <c r="J16" s="17">
        <f>C16+SUM(D16:I16)</f>
        <v/>
      </c>
    </row>
    <row r="17">
      <c r="B17" s="19" t="inlineStr">
        <is>
          <t>Total Passivo e Patrim. Líquido</t>
        </is>
      </c>
      <c r="C17" s="20">
        <f>SUM(C12:C16)</f>
        <v/>
      </c>
      <c r="D17" s="20">
        <f>SUM(D12:D16)</f>
        <v/>
      </c>
      <c r="E17" s="20">
        <f>SUM(E12:E16)</f>
        <v/>
      </c>
      <c r="F17" s="20">
        <f>SUM(F12:F16)</f>
        <v/>
      </c>
      <c r="G17" s="20">
        <f>SUM(G12:G16)</f>
        <v/>
      </c>
      <c r="H17" s="20">
        <f>SUM(H12:H16)</f>
        <v/>
      </c>
      <c r="I17" s="20">
        <f>SUM(I12:I16)</f>
        <v/>
      </c>
      <c r="J17" s="20">
        <f>SUM(J12:J16)</f>
        <v/>
      </c>
    </row>
    <row r="19">
      <c r="B19" s="21" t="inlineStr">
        <is>
          <t>Diferença, se houver (tem que dar zero)</t>
        </is>
      </c>
      <c r="C19" s="17">
        <f>C10-C17</f>
        <v/>
      </c>
      <c r="D19" s="17">
        <f>D10-D17</f>
        <v/>
      </c>
      <c r="E19" s="17">
        <f>E10-E17</f>
        <v/>
      </c>
      <c r="F19" s="17">
        <f>F10-F17</f>
        <v/>
      </c>
      <c r="G19" s="17">
        <f>G10-G17</f>
        <v/>
      </c>
      <c r="H19" s="17">
        <f>H10-H17</f>
        <v/>
      </c>
      <c r="I19" s="17">
        <f>I10-I17</f>
        <v/>
      </c>
      <c r="J19" s="17">
        <f>J10-J17</f>
        <v/>
      </c>
    </row>
    <row r="21">
      <c r="B21" s="13" t="inlineStr">
        <is>
          <t>Demonstração do Resultado</t>
        </is>
      </c>
      <c r="D21" s="3" t="n">
        <v>1</v>
      </c>
      <c r="E21" s="3" t="n">
        <v>2</v>
      </c>
      <c r="F21" s="3" t="n">
        <v>3</v>
      </c>
      <c r="G21" s="3" t="n">
        <v>4</v>
      </c>
      <c r="H21" s="3" t="n">
        <v>5</v>
      </c>
      <c r="I21" s="3" t="n">
        <v>6</v>
      </c>
      <c r="J21" s="13" t="inlineStr">
        <is>
          <t>Mês 1</t>
        </is>
      </c>
      <c r="L21" s="22" t="inlineStr">
        <is>
          <t>Check</t>
        </is>
      </c>
    </row>
    <row r="22">
      <c r="B22" t="inlineStr">
        <is>
          <t>Receita de Vendas</t>
        </is>
      </c>
      <c r="D22" s="9" t="n"/>
      <c r="E22" s="9" t="n"/>
      <c r="F22" s="9" t="n"/>
      <c r="G22" s="9" t="n">
        <v>27000</v>
      </c>
      <c r="H22" s="9" t="n"/>
      <c r="I22" s="9" t="n"/>
      <c r="J22" s="17">
        <f>SUM(D22:I22)</f>
        <v/>
      </c>
    </row>
    <row r="23">
      <c r="B23" t="inlineStr">
        <is>
          <t>(-) Custo das Mercadorias Vendidas</t>
        </is>
      </c>
      <c r="D23" s="9" t="n"/>
      <c r="E23" s="9" t="n"/>
      <c r="F23" s="9" t="n"/>
      <c r="G23" s="9" t="n">
        <v>-12000</v>
      </c>
      <c r="H23" s="9" t="n"/>
      <c r="I23" s="9" t="n"/>
      <c r="J23" s="17">
        <f>SUM(D23:I23)</f>
        <v/>
      </c>
    </row>
    <row r="24">
      <c r="B24" s="19" t="inlineStr">
        <is>
          <t xml:space="preserve">     (=) Lucro Bruto</t>
        </is>
      </c>
      <c r="D24" s="20">
        <f>SUM(D22:D23)</f>
        <v/>
      </c>
      <c r="E24" s="20">
        <f>SUM(E22:E23)</f>
        <v/>
      </c>
      <c r="F24" s="20">
        <f>SUM(F22:F23)</f>
        <v/>
      </c>
      <c r="G24" s="20">
        <f>SUM(G22:G23)</f>
        <v/>
      </c>
      <c r="H24" s="20">
        <f>SUM(H22:H23)</f>
        <v/>
      </c>
      <c r="I24" s="20">
        <f>SUM(I22:I23)</f>
        <v/>
      </c>
      <c r="J24" s="20">
        <f>SUM(J22:J23)</f>
        <v/>
      </c>
    </row>
    <row r="25">
      <c r="B25" t="inlineStr">
        <is>
          <t>(-) Despesas Operacionais</t>
        </is>
      </c>
      <c r="D25" s="9" t="n"/>
      <c r="E25" s="9" t="n"/>
      <c r="F25" s="9" t="n"/>
      <c r="G25" s="9" t="n"/>
      <c r="H25" s="9" t="n">
        <v>-6000</v>
      </c>
      <c r="I25" s="9" t="n"/>
      <c r="J25" s="17">
        <f>SUM(D25:I25)</f>
        <v/>
      </c>
    </row>
    <row r="26">
      <c r="B26" s="19" t="inlineStr">
        <is>
          <t xml:space="preserve">     (=) EBIT e Lucro Líquido</t>
        </is>
      </c>
      <c r="D26" s="20">
        <f>SUM(D24:D25)</f>
        <v/>
      </c>
      <c r="E26" s="20">
        <f>SUM(E24:E25)</f>
        <v/>
      </c>
      <c r="F26" s="20">
        <f>SUM(F24:F25)</f>
        <v/>
      </c>
      <c r="G26" s="20">
        <f>SUM(G24:G25)</f>
        <v/>
      </c>
      <c r="H26" s="20">
        <f>SUM(H24:H25)</f>
        <v/>
      </c>
      <c r="I26" s="20">
        <f>SUM(I24:I25)</f>
        <v/>
      </c>
      <c r="J26" s="20">
        <f>SUM(J24:J25)</f>
        <v/>
      </c>
    </row>
    <row r="28">
      <c r="B28" s="13" t="inlineStr">
        <is>
          <t>Demonstração dos Fluxos de Caixa</t>
        </is>
      </c>
      <c r="D28" s="3" t="n">
        <v>1</v>
      </c>
      <c r="E28" s="3" t="n">
        <v>2</v>
      </c>
      <c r="F28" s="3" t="n">
        <v>3</v>
      </c>
      <c r="G28" s="3" t="n">
        <v>4</v>
      </c>
      <c r="H28" s="3" t="n">
        <v>5</v>
      </c>
      <c r="I28" s="3" t="n">
        <v>6</v>
      </c>
      <c r="J28" s="13" t="inlineStr">
        <is>
          <t>Mês 1</t>
        </is>
      </c>
    </row>
    <row r="29">
      <c r="B29" s="19" t="inlineStr">
        <is>
          <t>OPERAÇÕES</t>
        </is>
      </c>
      <c r="D29" s="20">
        <f>SUM(D30:D32)</f>
        <v/>
      </c>
      <c r="E29" s="20">
        <f>SUM(E30:E32)</f>
        <v/>
      </c>
      <c r="F29" s="20">
        <f>SUM(F30:F32)</f>
        <v/>
      </c>
      <c r="G29" s="20">
        <f>SUM(G30:G32)</f>
        <v/>
      </c>
      <c r="H29" s="20">
        <f>SUM(H30:H32)</f>
        <v/>
      </c>
      <c r="I29" s="20">
        <f>SUM(I30:I32)</f>
        <v/>
      </c>
      <c r="J29" s="20">
        <f>SUM(J30:J32)</f>
        <v/>
      </c>
    </row>
    <row r="30">
      <c r="B30" t="inlineStr">
        <is>
          <t>Recebimentos de Clientes</t>
        </is>
      </c>
      <c r="D30" s="9" t="n"/>
      <c r="E30" s="9" t="n"/>
      <c r="F30" s="9" t="n"/>
      <c r="G30" s="9" t="n">
        <v>27000</v>
      </c>
      <c r="H30" s="9" t="n"/>
      <c r="I30" s="9" t="n"/>
      <c r="J30" s="17">
        <f>SUM(D30:I30)</f>
        <v/>
      </c>
    </row>
    <row r="31">
      <c r="B31" t="inlineStr">
        <is>
          <t>Pagamentos a Fornecedores</t>
        </is>
      </c>
      <c r="D31" s="9" t="n"/>
      <c r="E31" s="9" t="n"/>
      <c r="F31" s="9" t="n">
        <v>-12000</v>
      </c>
      <c r="G31" s="9" t="n"/>
      <c r="H31" s="9" t="n"/>
      <c r="I31" s="9" t="n">
        <v>-6000</v>
      </c>
      <c r="J31" s="17">
        <f>SUM(D31:I31)</f>
        <v/>
      </c>
    </row>
    <row r="32">
      <c r="B32" t="inlineStr">
        <is>
          <t>Pagamentos de Despesas</t>
        </is>
      </c>
      <c r="D32" s="9" t="n"/>
      <c r="E32" s="9" t="n"/>
      <c r="F32" s="9" t="n"/>
      <c r="G32" s="9" t="n"/>
      <c r="H32" s="9" t="n">
        <v>-6000</v>
      </c>
      <c r="I32" s="9" t="n"/>
      <c r="J32" s="17">
        <f>SUM(D32:I32)</f>
        <v/>
      </c>
    </row>
    <row r="33">
      <c r="B33" s="19" t="inlineStr">
        <is>
          <t>INVESTIMENTOS</t>
        </is>
      </c>
      <c r="D33" s="20">
        <f>SUM(D34:D34)</f>
        <v/>
      </c>
      <c r="E33" s="20">
        <f>SUM(E34:E34)</f>
        <v/>
      </c>
      <c r="F33" s="20">
        <f>SUM(F34:F34)</f>
        <v/>
      </c>
      <c r="G33" s="20">
        <f>SUM(G34:G34)</f>
        <v/>
      </c>
      <c r="H33" s="20">
        <f>SUM(H34:H34)</f>
        <v/>
      </c>
      <c r="I33" s="20">
        <f>SUM(I34:I34)</f>
        <v/>
      </c>
      <c r="J33" s="20">
        <f>SUM(J34:J34)</f>
        <v/>
      </c>
    </row>
    <row r="34">
      <c r="B34" t="inlineStr">
        <is>
          <t>Aquisição de Imobilizado</t>
        </is>
      </c>
      <c r="D34" s="9" t="n"/>
      <c r="E34" s="9" t="n">
        <v>-30000</v>
      </c>
      <c r="F34" s="9" t="n"/>
      <c r="G34" s="9" t="n"/>
      <c r="H34" s="9" t="n"/>
      <c r="I34" s="9" t="n"/>
      <c r="J34" s="17">
        <f>SUM(D34:I34)</f>
        <v/>
      </c>
    </row>
    <row r="35">
      <c r="B35" s="19" t="inlineStr">
        <is>
          <t>FINANCIAMENTOS</t>
        </is>
      </c>
      <c r="D35" s="20">
        <f>SUM(D36:D36)</f>
        <v/>
      </c>
      <c r="E35" s="20">
        <f>SUM(E36:E36)</f>
        <v/>
      </c>
      <c r="F35" s="20">
        <f>SUM(F36:F36)</f>
        <v/>
      </c>
      <c r="G35" s="20">
        <f>SUM(G36:G36)</f>
        <v/>
      </c>
      <c r="H35" s="20">
        <f>SUM(H36:H36)</f>
        <v/>
      </c>
      <c r="I35" s="20">
        <f>SUM(I36:I36)</f>
        <v/>
      </c>
      <c r="J35" s="20">
        <f>SUM(J36:J36)</f>
        <v/>
      </c>
    </row>
    <row r="36">
      <c r="B36" t="inlineStr">
        <is>
          <t>Ingresso de Capital</t>
        </is>
      </c>
      <c r="D36" s="9" t="n">
        <v>80000</v>
      </c>
      <c r="E36" s="9" t="n"/>
      <c r="F36" s="9" t="n"/>
      <c r="G36" s="9" t="n"/>
      <c r="H36" s="9" t="n"/>
      <c r="I36" s="9" t="n"/>
      <c r="J36" s="17">
        <f>SUM(D36:I36)</f>
        <v/>
      </c>
    </row>
    <row r="37">
      <c r="B37" s="19" t="inlineStr">
        <is>
          <t>VARIAÇÃO NO CAIXA</t>
        </is>
      </c>
      <c r="D37" s="20">
        <f>D29+D33+D35</f>
        <v/>
      </c>
      <c r="E37" s="20">
        <f>E29+E33+E35</f>
        <v/>
      </c>
      <c r="F37" s="20">
        <f>F29+F33+F35</f>
        <v/>
      </c>
      <c r="G37" s="20">
        <f>G29+G33+G35</f>
        <v/>
      </c>
      <c r="H37" s="20">
        <f>H29+H33+H35</f>
        <v/>
      </c>
      <c r="I37" s="20">
        <f>I29+I33+I35</f>
        <v/>
      </c>
      <c r="J37" s="20">
        <f>J29+J33+J35</f>
        <v/>
      </c>
    </row>
    <row r="38">
      <c r="B38" t="inlineStr">
        <is>
          <t xml:space="preserve">    Saldo inicial de caixa</t>
        </is>
      </c>
      <c r="J38" s="16" t="n">
        <v>0</v>
      </c>
    </row>
    <row r="39">
      <c r="B39" s="19" t="inlineStr">
        <is>
          <t xml:space="preserve">    Saldo final de caixa</t>
        </is>
      </c>
      <c r="J39" s="17">
        <f>J38+J37</f>
        <v/>
      </c>
    </row>
    <row r="41">
      <c r="B41" s="21" t="inlineStr">
        <is>
          <t>Caixa final da DFC menos Caixa do BP (tem que dar zero)</t>
        </is>
      </c>
      <c r="J41" s="17">
        <f>J39-J6</f>
        <v/>
      </c>
    </row>
    <row r="43">
      <c r="B43" s="13" t="inlineStr">
        <is>
          <t>Indicadores (automáticos)</t>
        </is>
      </c>
    </row>
    <row r="44">
      <c r="B44" t="inlineStr">
        <is>
          <t>Margem bruta</t>
        </is>
      </c>
      <c r="J44" s="23">
        <f>IF(J22=0,"",J24/J22)</f>
        <v/>
      </c>
    </row>
    <row r="45">
      <c r="B45" t="inlineStr">
        <is>
          <t>Margem líquida</t>
        </is>
      </c>
      <c r="J45" s="23">
        <f>IF(J22=0,"",J26/J22)</f>
        <v/>
      </c>
    </row>
    <row r="46">
      <c r="B46" t="inlineStr">
        <is>
          <t>% financiado por capital próprio (PL / Ativo)</t>
        </is>
      </c>
      <c r="J46" s="23">
        <f>IF(J10=0,"",SUM(J15:J16)/J10)</f>
        <v/>
      </c>
    </row>
    <row r="47">
      <c r="B47" t="inlineStr">
        <is>
          <t>ROE (LL / PL final)</t>
        </is>
      </c>
      <c r="J47" s="23">
        <f>IF(SUM(J15:J16)=0,"",J26/SUM(J15:J16))</f>
        <v/>
      </c>
    </row>
  </sheetData>
  <mergeCells count="1">
    <mergeCell ref="B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24" customWidth="1" min="3" max="3"/>
    <col width="13" customWidth="1" min="4" max="4"/>
    <col width="3" customWidth="1" min="5" max="5"/>
    <col width="24" customWidth="1" min="6" max="6"/>
    <col width="13" customWidth="1" min="7" max="7"/>
    <col width="3" customWidth="1" min="8" max="8"/>
    <col width="20" customWidth="1" min="9" max="9"/>
    <col width="13" customWidth="1" min="10" max="10"/>
    <col width="8" customWidth="1" min="11" max="11"/>
  </cols>
  <sheetData>
    <row r="1">
      <c r="A1" s="1" t="inlineStr">
        <is>
          <t>Cafeteria Grão de Ouro  |  Efeito das transações na Equação do Balanço</t>
        </is>
      </c>
    </row>
    <row r="2">
      <c r="A2" s="2" t="inlineStr">
        <is>
          <t>Uma linha por movimento: escreve a conta e o valor, com sinal. Transação que mexe em três contas do mesmo lado usa as três linhas. A coluna Check acusa se aquela transação fechou.</t>
        </is>
      </c>
    </row>
    <row r="4">
      <c r="A4" s="3" t="inlineStr">
        <is>
          <t>Nº</t>
        </is>
      </c>
      <c r="B4" s="3" t="inlineStr">
        <is>
          <t>Descrição</t>
        </is>
      </c>
      <c r="C4" s="3" t="inlineStr">
        <is>
          <t>ATIVO</t>
        </is>
      </c>
      <c r="D4" s="4" t="n"/>
      <c r="E4" s="3" t="inlineStr">
        <is>
          <t>=</t>
        </is>
      </c>
      <c r="F4" s="3" t="inlineStr">
        <is>
          <t>PASSIVO</t>
        </is>
      </c>
      <c r="G4" s="4" t="n"/>
      <c r="H4" s="3" t="inlineStr">
        <is>
          <t>+</t>
        </is>
      </c>
      <c r="I4" s="3" t="inlineStr">
        <is>
          <t>PATRIMÔNIO LÍQUIDO</t>
        </is>
      </c>
      <c r="J4" s="4" t="n"/>
      <c r="K4" s="3" t="inlineStr">
        <is>
          <t>Check</t>
        </is>
      </c>
    </row>
    <row r="5">
      <c r="C5" s="5" t="inlineStr">
        <is>
          <t>conta</t>
        </is>
      </c>
      <c r="D5" s="5" t="inlineStr">
        <is>
          <t>valor</t>
        </is>
      </c>
      <c r="F5" s="5" t="inlineStr">
        <is>
          <t>conta</t>
        </is>
      </c>
      <c r="G5" s="5" t="inlineStr">
        <is>
          <t>valor</t>
        </is>
      </c>
      <c r="I5" s="5" t="inlineStr">
        <is>
          <t>conta</t>
        </is>
      </c>
      <c r="J5" s="5" t="inlineStr">
        <is>
          <t>valor</t>
        </is>
      </c>
    </row>
    <row r="6">
      <c r="A6" s="6" t="n">
        <v>1</v>
      </c>
      <c r="B6" s="7" t="inlineStr">
        <is>
          <t>Integralização de capital de R$ 80.000 em dinheiro</t>
        </is>
      </c>
      <c r="C6" s="8" t="inlineStr">
        <is>
          <t>Caixa</t>
        </is>
      </c>
      <c r="D6" s="9" t="n">
        <v>80000</v>
      </c>
      <c r="E6" s="10" t="inlineStr">
        <is>
          <t>=</t>
        </is>
      </c>
      <c r="F6" s="8" t="n"/>
      <c r="G6" s="9" t="n"/>
      <c r="H6" s="10" t="inlineStr">
        <is>
          <t>+</t>
        </is>
      </c>
      <c r="I6" s="8" t="inlineStr">
        <is>
          <t>Capital Social</t>
        </is>
      </c>
      <c r="J6" s="9" t="n">
        <v>80000</v>
      </c>
      <c r="K6" s="6">
        <f>IF(COUNT(D6:D7,G6:G7,J6:J7)=0,"",IF(SUM(D6:D7)-SUM(G6:G7)-SUM(J6:J7)=0,"✔","✗"))</f>
        <v/>
      </c>
    </row>
    <row r="7">
      <c r="C7" s="8" t="n"/>
      <c r="D7" s="9" t="n"/>
      <c r="E7" s="10" t="inlineStr">
        <is>
          <t>=</t>
        </is>
      </c>
      <c r="F7" s="8" t="n"/>
      <c r="G7" s="9" t="n"/>
      <c r="H7" s="10" t="inlineStr">
        <is>
          <t>+</t>
        </is>
      </c>
      <c r="I7" s="8" t="n"/>
      <c r="J7" s="9" t="n"/>
    </row>
    <row r="8">
      <c r="A8" s="6" t="n">
        <v>2</v>
      </c>
      <c r="B8" s="7" t="inlineStr">
        <is>
          <t>Compra à vista de máquina de espresso e mobiliário por R$ 30.000</t>
        </is>
      </c>
      <c r="C8" s="8" t="inlineStr">
        <is>
          <t>Caixa</t>
        </is>
      </c>
      <c r="D8" s="9" t="n">
        <v>-30000</v>
      </c>
      <c r="E8" s="10" t="inlineStr">
        <is>
          <t>=</t>
        </is>
      </c>
      <c r="F8" s="8" t="n"/>
      <c r="G8" s="9" t="n"/>
      <c r="H8" s="10" t="inlineStr">
        <is>
          <t>+</t>
        </is>
      </c>
      <c r="I8" s="8" t="n"/>
      <c r="J8" s="9" t="n"/>
      <c r="K8" s="6">
        <f>IF(COUNT(D8:D9,G8:G9,J8:J9)=0,"",IF(SUM(D8:D9)-SUM(G8:G9)-SUM(J8:J9)=0,"✔","✗"))</f>
        <v/>
      </c>
    </row>
    <row r="9">
      <c r="C9" s="8" t="inlineStr">
        <is>
          <t>Imobilizado</t>
        </is>
      </c>
      <c r="D9" s="9" t="n">
        <v>30000</v>
      </c>
      <c r="E9" s="10" t="inlineStr">
        <is>
          <t>=</t>
        </is>
      </c>
      <c r="F9" s="8" t="n"/>
      <c r="G9" s="9" t="n"/>
      <c r="H9" s="10" t="inlineStr">
        <is>
          <t>+</t>
        </is>
      </c>
      <c r="I9" s="8" t="n"/>
      <c r="J9" s="9" t="n"/>
    </row>
    <row r="10">
      <c r="A10" s="6" t="n">
        <v>3</v>
      </c>
      <c r="B10" s="7" t="inlineStr">
        <is>
          <t>Compra de café e insumos por R$ 24.000, metade à vista e metade a prazo</t>
        </is>
      </c>
      <c r="C10" s="8" t="inlineStr">
        <is>
          <t>Caixa</t>
        </is>
      </c>
      <c r="D10" s="9" t="n">
        <v>-12000</v>
      </c>
      <c r="E10" s="10" t="inlineStr">
        <is>
          <t>=</t>
        </is>
      </c>
      <c r="F10" s="8" t="inlineStr">
        <is>
          <t>Contas a Pagar</t>
        </is>
      </c>
      <c r="G10" s="9" t="n">
        <v>12000</v>
      </c>
      <c r="H10" s="10" t="inlineStr">
        <is>
          <t>+</t>
        </is>
      </c>
      <c r="I10" s="8" t="n"/>
      <c r="J10" s="9" t="n"/>
      <c r="K10" s="6">
        <f>IF(COUNT(D10:D11,G10:G11,J10:J11)=0,"",IF(SUM(D10:D11)-SUM(G10:G11)-SUM(J10:J11)=0,"✔","✗"))</f>
        <v/>
      </c>
    </row>
    <row r="11">
      <c r="C11" s="8" t="inlineStr">
        <is>
          <t>Estoque</t>
        </is>
      </c>
      <c r="D11" s="9" t="n">
        <v>24000</v>
      </c>
      <c r="E11" s="10" t="inlineStr">
        <is>
          <t>=</t>
        </is>
      </c>
      <c r="F11" s="8" t="n"/>
      <c r="G11" s="9" t="n"/>
      <c r="H11" s="10" t="inlineStr">
        <is>
          <t>+</t>
        </is>
      </c>
      <c r="I11" s="8" t="n"/>
      <c r="J11" s="9" t="n"/>
    </row>
    <row r="12">
      <c r="A12" s="6" t="n">
        <v>4</v>
      </c>
      <c r="B12" s="7" t="inlineStr">
        <is>
          <t>Venda de metade do estoque por R$ 27.000 à vista (custo de R$ 12.000)</t>
        </is>
      </c>
      <c r="C12" s="8" t="inlineStr">
        <is>
          <t>Caixa</t>
        </is>
      </c>
      <c r="D12" s="9" t="n">
        <v>27000</v>
      </c>
      <c r="E12" s="10" t="inlineStr">
        <is>
          <t>=</t>
        </is>
      </c>
      <c r="F12" s="8" t="n"/>
      <c r="G12" s="9" t="n"/>
      <c r="H12" s="10" t="inlineStr">
        <is>
          <t>+</t>
        </is>
      </c>
      <c r="I12" s="8" t="inlineStr">
        <is>
          <t>Lucros Acumulados</t>
        </is>
      </c>
      <c r="J12" s="9" t="n">
        <v>15000</v>
      </c>
      <c r="K12" s="6">
        <f>IF(COUNT(D12:D13,G12:G13,J12:J13)=0,"",IF(SUM(D12:D13)-SUM(G12:G13)-SUM(J12:J13)=0,"✔","✗"))</f>
        <v/>
      </c>
    </row>
    <row r="13">
      <c r="C13" s="8" t="inlineStr">
        <is>
          <t>Estoque</t>
        </is>
      </c>
      <c r="D13" s="9" t="n">
        <v>-12000</v>
      </c>
      <c r="E13" s="10" t="inlineStr">
        <is>
          <t>=</t>
        </is>
      </c>
      <c r="F13" s="8" t="n"/>
      <c r="G13" s="9" t="n"/>
      <c r="H13" s="10" t="inlineStr">
        <is>
          <t>+</t>
        </is>
      </c>
      <c r="I13" s="8" t="n"/>
      <c r="J13" s="9" t="n"/>
    </row>
    <row r="14">
      <c r="A14" s="6" t="n">
        <v>5</v>
      </c>
      <c r="B14" s="7" t="inlineStr">
        <is>
          <t>Pagamento de salários e aluguel do mês, R$ 6.000 à vista</t>
        </is>
      </c>
      <c r="C14" s="8" t="inlineStr">
        <is>
          <t>Caixa</t>
        </is>
      </c>
      <c r="D14" s="9" t="n">
        <v>-6000</v>
      </c>
      <c r="E14" s="10" t="inlineStr">
        <is>
          <t>=</t>
        </is>
      </c>
      <c r="F14" s="8" t="n"/>
      <c r="G14" s="9" t="n"/>
      <c r="H14" s="10" t="inlineStr">
        <is>
          <t>+</t>
        </is>
      </c>
      <c r="I14" s="8" t="inlineStr">
        <is>
          <t>Lucros Acumulados</t>
        </is>
      </c>
      <c r="J14" s="9" t="n">
        <v>-6000</v>
      </c>
      <c r="K14" s="6">
        <f>IF(COUNT(D14:D15,G14:G15,J14:J15)=0,"",IF(SUM(D14:D15)-SUM(G14:G15)-SUM(J14:J15)=0,"✔","✗"))</f>
        <v/>
      </c>
    </row>
    <row r="15">
      <c r="C15" s="8" t="n"/>
      <c r="D15" s="9" t="n"/>
      <c r="E15" s="10" t="inlineStr">
        <is>
          <t>=</t>
        </is>
      </c>
      <c r="F15" s="8" t="n"/>
      <c r="G15" s="9" t="n"/>
      <c r="H15" s="10" t="inlineStr">
        <is>
          <t>+</t>
        </is>
      </c>
      <c r="I15" s="8" t="n"/>
      <c r="J15" s="9" t="n"/>
    </row>
    <row r="16">
      <c r="A16" s="6" t="n">
        <v>6</v>
      </c>
      <c r="B16" s="7" t="inlineStr">
        <is>
          <t>Pagamento de metade do que devia aos fornecedores</t>
        </is>
      </c>
      <c r="C16" s="8" t="inlineStr">
        <is>
          <t>Caixa</t>
        </is>
      </c>
      <c r="D16" s="9" t="n">
        <v>-6000</v>
      </c>
      <c r="E16" s="10" t="inlineStr">
        <is>
          <t>=</t>
        </is>
      </c>
      <c r="F16" s="8" t="inlineStr">
        <is>
          <t>Contas a Pagar</t>
        </is>
      </c>
      <c r="G16" s="9" t="n">
        <v>-6000</v>
      </c>
      <c r="H16" s="10" t="inlineStr">
        <is>
          <t>+</t>
        </is>
      </c>
      <c r="I16" s="8" t="n"/>
      <c r="J16" s="9" t="n"/>
      <c r="K16" s="6">
        <f>IF(COUNT(D16:D17,G16:G17,J16:J17)=0,"",IF(SUM(D16:D17)-SUM(G16:G17)-SUM(J16:J17)=0,"✔","✗"))</f>
        <v/>
      </c>
    </row>
    <row r="17">
      <c r="C17" s="8" t="n"/>
      <c r="D17" s="9" t="n"/>
      <c r="E17" s="10" t="inlineStr">
        <is>
          <t>=</t>
        </is>
      </c>
      <c r="F17" s="8" t="n"/>
      <c r="G17" s="9" t="n"/>
      <c r="H17" s="10" t="inlineStr">
        <is>
          <t>+</t>
        </is>
      </c>
      <c r="I17" s="8" t="n"/>
      <c r="J17" s="9" t="n"/>
    </row>
  </sheetData>
  <mergeCells count="22">
    <mergeCell ref="F4:G4"/>
    <mergeCell ref="B12:B13"/>
    <mergeCell ref="B8:B9"/>
    <mergeCell ref="A16:A17"/>
    <mergeCell ref="A6:A7"/>
    <mergeCell ref="B14:B15"/>
    <mergeCell ref="C4:D4"/>
    <mergeCell ref="A12:A13"/>
    <mergeCell ref="K12:K13"/>
    <mergeCell ref="B10:B11"/>
    <mergeCell ref="B6:B7"/>
    <mergeCell ref="A14:A15"/>
    <mergeCell ref="A1:D1"/>
    <mergeCell ref="A8:A9"/>
    <mergeCell ref="K14:K15"/>
    <mergeCell ref="K8:K9"/>
    <mergeCell ref="A10:A11"/>
    <mergeCell ref="K10:K11"/>
    <mergeCell ref="I4:J4"/>
    <mergeCell ref="K16:K17"/>
    <mergeCell ref="K6:K7"/>
    <mergeCell ref="B16:B17"/>
  </mergeCells>
  <dataValidations count="3">
    <dataValidation sqref="C6 C7 C8 C9 C10 C11 C12 C13 C14 C15 C16 C17" showDropDown="0" showInputMessage="0" showErrorMessage="0" allowBlank="1" type="list">
      <formula1>"Caixa,Estoque,Imobilizado"</formula1>
    </dataValidation>
    <dataValidation sqref="F6 F7 F8 F9 F10 F11 F12 F13 F14 F15 F16 F17" showDropDown="0" showInputMessage="0" showErrorMessage="0" allowBlank="1" type="list">
      <formula1>"Contas a Pagar"</formula1>
    </dataValidation>
    <dataValidation sqref="I6 I7 I8 I9 I10 I11 I12 I13 I14 I15 I16 I17" showDropDown="0" showInputMessage="0" showErrorMessage="0" allowBlank="1" type="list">
      <formula1>"Capital Social,Lucros Acumulados"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2026-08-10T22:15:44Z</dcterms:created>
  <dcterms:modified xmlns:dcterms="http://purl.org/dc/terms/" xmlns:xsi="http://www.w3.org/2001/XMLSchema-instance" xsi:type="dcterms:W3CDTF">2026-08-10T22:15:44Z</dcterms:modified>
</cp:coreProperties>
</file>