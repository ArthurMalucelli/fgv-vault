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cotrimmartins/Library/CloudStorage/GoogleDrive-theocm@gmail.com/My Drive/Documentos/CDAE/Produtos Financeiros - CGAE - 2S2025 (coordenacao)/listas/"/>
    </mc:Choice>
  </mc:AlternateContent>
  <xr:revisionPtr revIDLastSave="0" documentId="13_ncr:1_{9BA43B42-1B4C-C244-ACED-2E5CC6B07C32}" xr6:coauthVersionLast="47" xr6:coauthVersionMax="47" xr10:uidLastSave="{00000000-0000-0000-0000-000000000000}"/>
  <bookViews>
    <workbookView xWindow="5540" yWindow="3080" windowWidth="23260" windowHeight="12460" xr2:uid="{760185B0-5320-4A44-8249-3F6F1086269A}"/>
  </bookViews>
  <sheets>
    <sheet name="lista_DI_SELI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2" l="1"/>
  <c r="D143" i="2" s="1"/>
  <c r="D142" i="2"/>
  <c r="D132" i="2"/>
  <c r="D128" i="2"/>
  <c r="D130" i="2" s="1"/>
  <c r="D121" i="2"/>
  <c r="D119" i="2"/>
  <c r="D114" i="2"/>
  <c r="D118" i="2"/>
  <c r="D113" i="2"/>
  <c r="D100" i="2"/>
  <c r="D103" i="2" s="1"/>
  <c r="D105" i="2" s="1"/>
  <c r="D68" i="2"/>
  <c r="D70" i="2" s="1"/>
  <c r="D72" i="2" s="1"/>
  <c r="D92" i="2"/>
  <c r="D89" i="2"/>
  <c r="D87" i="2"/>
  <c r="D90" i="2" s="1"/>
  <c r="D39" i="2"/>
  <c r="D41" i="2"/>
  <c r="D35" i="2"/>
  <c r="D38" i="2" s="1"/>
  <c r="D57" i="2"/>
  <c r="D53" i="2"/>
  <c r="D56" i="2" s="1"/>
  <c r="D20" i="2"/>
  <c r="D23" i="2" s="1"/>
  <c r="D24" i="2" s="1"/>
  <c r="D26" i="2" s="1"/>
  <c r="D16" i="2"/>
  <c r="D18" i="2" s="1"/>
  <c r="D7" i="2"/>
  <c r="D91" i="2" l="1"/>
  <c r="D93" i="2" s="1"/>
  <c r="D42" i="2"/>
  <c r="D37" i="2"/>
  <c r="D55" i="2"/>
</calcChain>
</file>

<file path=xl/sharedStrings.xml><?xml version="1.0" encoding="utf-8"?>
<sst xmlns="http://schemas.openxmlformats.org/spreadsheetml/2006/main" count="187" uniqueCount="90">
  <si>
    <t>a.m.</t>
  </si>
  <si>
    <t>a.a.</t>
  </si>
  <si>
    <t>$</t>
  </si>
  <si>
    <t>Capital</t>
  </si>
  <si>
    <t>Montante</t>
  </si>
  <si>
    <t>Taxa de inflação no período</t>
  </si>
  <si>
    <t>a)</t>
  </si>
  <si>
    <t>a.p.</t>
  </si>
  <si>
    <t>b)</t>
  </si>
  <si>
    <t>c)</t>
  </si>
  <si>
    <t>d)</t>
  </si>
  <si>
    <t>número de dias úteis</t>
  </si>
  <si>
    <t>Rendimento por dia útil</t>
  </si>
  <si>
    <t>a.d.</t>
  </si>
  <si>
    <t>Taxa acumulada de retorno</t>
  </si>
  <si>
    <t>Valor da cota na aplicação</t>
  </si>
  <si>
    <t>Valor da cota no resgate</t>
  </si>
  <si>
    <t>Número de dias  no período</t>
  </si>
  <si>
    <t>d.u.</t>
  </si>
  <si>
    <t>Taxa rentabilidade do fundo</t>
  </si>
  <si>
    <t>Cotas adquiridas</t>
  </si>
  <si>
    <t>Alíquota de imposto renda</t>
  </si>
  <si>
    <t xml:space="preserve">Imposto de renda </t>
  </si>
  <si>
    <t>e)</t>
  </si>
  <si>
    <t>Juros da aplicação</t>
  </si>
  <si>
    <t>93modif</t>
  </si>
  <si>
    <t>Saldo líquido</t>
  </si>
  <si>
    <t>Número de dias no ano</t>
  </si>
  <si>
    <t>Taxa rentabilidade no período</t>
  </si>
  <si>
    <t>96modif</t>
  </si>
  <si>
    <t>Taxa SELIC 1</t>
  </si>
  <si>
    <t>Taxa SELIC 2</t>
  </si>
  <si>
    <t>Taxa SELIC 3</t>
  </si>
  <si>
    <t>Número dias de cada aplicação</t>
  </si>
  <si>
    <t>Montante final de 3 dias úteis</t>
  </si>
  <si>
    <t>ou Taxa rentabilidade no período</t>
  </si>
  <si>
    <t>Taxa CDI 1</t>
  </si>
  <si>
    <t>Taxa CDI 2</t>
  </si>
  <si>
    <t>Rendimento como % do CDI</t>
  </si>
  <si>
    <t>Montante final de 2 dias úteis</t>
  </si>
  <si>
    <t>101modif</t>
  </si>
  <si>
    <t>Taxa rentabilidade média ao dia</t>
  </si>
  <si>
    <t>lembrar que foram 2 dias úteis</t>
  </si>
  <si>
    <t>Extra</t>
  </si>
  <si>
    <t>Taxa CDI</t>
  </si>
  <si>
    <t>Número de dias  no ano</t>
  </si>
  <si>
    <t>Número de dias  no mês</t>
  </si>
  <si>
    <t>Número dias do período 1</t>
  </si>
  <si>
    <t>Número dias do período 2</t>
  </si>
  <si>
    <t>Número dias do período 3</t>
  </si>
  <si>
    <t>Cesta de consumo no início</t>
  </si>
  <si>
    <t>Cesta de consumo no final</t>
  </si>
  <si>
    <t>Montante final do período</t>
  </si>
  <si>
    <t>Taxa de retorno no período</t>
  </si>
  <si>
    <t>Taxa de retorno real no período</t>
  </si>
  <si>
    <t>Taxa de retorno real anualizada</t>
  </si>
  <si>
    <t>Número de dias no período</t>
  </si>
  <si>
    <t>Extra2</t>
  </si>
  <si>
    <t>aplica</t>
  </si>
  <si>
    <t>prazo</t>
  </si>
  <si>
    <t>dias úteis</t>
  </si>
  <si>
    <t>DI</t>
  </si>
  <si>
    <t>a.d.u.</t>
  </si>
  <si>
    <t>Fator</t>
  </si>
  <si>
    <t>do DI</t>
  </si>
  <si>
    <t>Fator x DI (% a.d.u.)</t>
  </si>
  <si>
    <t>Resgata</t>
  </si>
  <si>
    <t>Extra3</t>
  </si>
  <si>
    <t>DI_1</t>
  </si>
  <si>
    <t>Prazo_1</t>
  </si>
  <si>
    <t>DI_2</t>
  </si>
  <si>
    <t>Prazo_2</t>
  </si>
  <si>
    <t>Fator_x_DI_2</t>
  </si>
  <si>
    <t>Fator_x_DI_1</t>
  </si>
  <si>
    <t>Rendimento_total</t>
  </si>
  <si>
    <t>Extra4</t>
  </si>
  <si>
    <t>Prazo</t>
  </si>
  <si>
    <t>Investiu</t>
  </si>
  <si>
    <t>Taxa Selic</t>
  </si>
  <si>
    <t>ao período</t>
  </si>
  <si>
    <t>ao ano</t>
  </si>
  <si>
    <t>check</t>
  </si>
  <si>
    <t>Extra5</t>
  </si>
  <si>
    <t>Taxa52</t>
  </si>
  <si>
    <t>% a.a.</t>
  </si>
  <si>
    <t>Taxa18</t>
  </si>
  <si>
    <t>Prazo18</t>
  </si>
  <si>
    <t>Taxa18_a_52</t>
  </si>
  <si>
    <t>% a.p.</t>
  </si>
  <si>
    <t>Prazo18_a_52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</si>
</sst>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0000"/>
    <numFmt numFmtId="165" formatCode="0.000%"/>
    <numFmt numFmtId="166" formatCode="0.00000%"/>
    <numFmt numFmtId="167" formatCode="0.00000"/>
    <numFmt numFmtId="168" formatCode="0.0000%"/>
    <numFmt numFmtId="169" formatCode="0.00000000000000000%"/>
    <numFmt numFmtId="170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4" fontId="0" fillId="0" borderId="0" xfId="0" applyNumberForma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10" fontId="0" fillId="2" borderId="0" xfId="1" applyNumberFormat="1" applyFont="1" applyFill="1"/>
    <xf numFmtId="4" fontId="0" fillId="2" borderId="0" xfId="1" applyNumberFormat="1" applyFont="1" applyFill="1"/>
    <xf numFmtId="164" fontId="0" fillId="0" borderId="0" xfId="0" applyNumberFormat="1"/>
    <xf numFmtId="165" fontId="0" fillId="2" borderId="0" xfId="1" applyNumberFormat="1" applyFont="1" applyFill="1"/>
    <xf numFmtId="166" fontId="0" fillId="2" borderId="0" xfId="1" applyNumberFormat="1" applyFont="1" applyFill="1"/>
    <xf numFmtId="167" fontId="0" fillId="2" borderId="0" xfId="1" applyNumberFormat="1" applyFont="1" applyFill="1"/>
    <xf numFmtId="10" fontId="0" fillId="0" borderId="0" xfId="0" applyNumberFormat="1"/>
    <xf numFmtId="168" fontId="0" fillId="0" borderId="0" xfId="1" applyNumberFormat="1" applyFon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3" borderId="0" xfId="0" applyFill="1"/>
    <xf numFmtId="10" fontId="0" fillId="3" borderId="0" xfId="1" applyNumberFormat="1" applyFon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BE8B-3ACA-411C-962E-7859AC2425BA}">
  <dimension ref="B3:F143"/>
  <sheetViews>
    <sheetView tabSelected="1" topLeftCell="A121" workbookViewId="0">
      <selection activeCell="F127" sqref="F127"/>
    </sheetView>
  </sheetViews>
  <sheetFormatPr baseColWidth="10" defaultColWidth="8.83203125" defaultRowHeight="15" x14ac:dyDescent="0.2"/>
  <cols>
    <col min="2" max="2" width="10.6640625" style="3" customWidth="1"/>
    <col min="3" max="3" width="27.6640625" bestFit="1" customWidth="1"/>
    <col min="4" max="4" width="22.83203125" customWidth="1"/>
    <col min="6" max="6" width="3.5" customWidth="1"/>
  </cols>
  <sheetData>
    <row r="3" spans="2:5" ht="21" x14ac:dyDescent="0.25">
      <c r="B3" s="4">
        <v>91</v>
      </c>
      <c r="D3" s="2"/>
    </row>
    <row r="4" spans="2:5" x14ac:dyDescent="0.2">
      <c r="C4" t="s">
        <v>11</v>
      </c>
      <c r="D4" s="2">
        <v>21</v>
      </c>
    </row>
    <row r="5" spans="2:5" x14ac:dyDescent="0.2">
      <c r="C5" t="s">
        <v>12</v>
      </c>
      <c r="D5" s="1">
        <v>5.9999999999999995E-4</v>
      </c>
      <c r="E5" t="s">
        <v>13</v>
      </c>
    </row>
    <row r="6" spans="2:5" x14ac:dyDescent="0.2">
      <c r="D6" s="1"/>
    </row>
    <row r="7" spans="2:5" x14ac:dyDescent="0.2">
      <c r="C7" s="5" t="s">
        <v>14</v>
      </c>
      <c r="D7" s="6">
        <f>(1+D5)^D4-1</f>
        <v>1.2675888057239959E-2</v>
      </c>
      <c r="E7" s="6" t="s">
        <v>0</v>
      </c>
    </row>
    <row r="10" spans="2:5" ht="21" x14ac:dyDescent="0.25">
      <c r="B10" s="4" t="s">
        <v>25</v>
      </c>
      <c r="D10" s="2"/>
    </row>
    <row r="11" spans="2:5" x14ac:dyDescent="0.2">
      <c r="C11" t="s">
        <v>3</v>
      </c>
      <c r="D11" s="2">
        <v>23000</v>
      </c>
      <c r="E11" t="s">
        <v>2</v>
      </c>
    </row>
    <row r="12" spans="2:5" x14ac:dyDescent="0.2">
      <c r="C12" t="s">
        <v>15</v>
      </c>
      <c r="D12" s="8">
        <v>7.8634550000000001</v>
      </c>
      <c r="E12" t="s">
        <v>2</v>
      </c>
    </row>
    <row r="13" spans="2:5" x14ac:dyDescent="0.2">
      <c r="C13" t="s">
        <v>16</v>
      </c>
      <c r="D13" s="8">
        <v>8.1150859999999998</v>
      </c>
      <c r="E13" t="s">
        <v>2</v>
      </c>
    </row>
    <row r="14" spans="2:5" x14ac:dyDescent="0.2">
      <c r="C14" t="s">
        <v>17</v>
      </c>
      <c r="D14" s="2">
        <v>43</v>
      </c>
      <c r="E14" t="s">
        <v>18</v>
      </c>
    </row>
    <row r="15" spans="2:5" x14ac:dyDescent="0.2">
      <c r="C15" t="s">
        <v>6</v>
      </c>
      <c r="D15" s="2"/>
    </row>
    <row r="16" spans="2:5" x14ac:dyDescent="0.2">
      <c r="C16" s="5" t="s">
        <v>19</v>
      </c>
      <c r="D16" s="6">
        <f>D13/D12-1</f>
        <v>3.2000055955047735E-2</v>
      </c>
      <c r="E16" s="6" t="s">
        <v>7</v>
      </c>
    </row>
    <row r="17" spans="2:5" x14ac:dyDescent="0.2">
      <c r="C17" t="s">
        <v>8</v>
      </c>
      <c r="D17" s="1"/>
    </row>
    <row r="18" spans="2:5" x14ac:dyDescent="0.2">
      <c r="C18" s="5" t="s">
        <v>19</v>
      </c>
      <c r="D18" s="10">
        <f>((1+D16)^(1/D14))-1</f>
        <v>7.3279676630000345E-4</v>
      </c>
      <c r="E18" s="6" t="s">
        <v>13</v>
      </c>
    </row>
    <row r="19" spans="2:5" x14ac:dyDescent="0.2">
      <c r="C19" t="s">
        <v>9</v>
      </c>
      <c r="D19" s="1"/>
    </row>
    <row r="20" spans="2:5" x14ac:dyDescent="0.2">
      <c r="C20" s="5" t="s">
        <v>20</v>
      </c>
      <c r="D20" s="11">
        <f>D11/D12</f>
        <v>2924.9229505351018</v>
      </c>
      <c r="E20" s="6"/>
    </row>
    <row r="21" spans="2:5" x14ac:dyDescent="0.2">
      <c r="C21" t="s">
        <v>10</v>
      </c>
      <c r="D21" s="1"/>
    </row>
    <row r="22" spans="2:5" x14ac:dyDescent="0.2">
      <c r="C22" t="s">
        <v>21</v>
      </c>
      <c r="D22" s="1">
        <v>0.2</v>
      </c>
    </row>
    <row r="23" spans="2:5" x14ac:dyDescent="0.2">
      <c r="C23" t="s">
        <v>24</v>
      </c>
      <c r="D23" s="2">
        <f>D20*D13-D11</f>
        <v>736.00128696609681</v>
      </c>
    </row>
    <row r="24" spans="2:5" x14ac:dyDescent="0.2">
      <c r="C24" s="5" t="s">
        <v>22</v>
      </c>
      <c r="D24" s="7">
        <f>D22*D23</f>
        <v>147.20025739321937</v>
      </c>
      <c r="E24" s="6" t="s">
        <v>2</v>
      </c>
    </row>
    <row r="25" spans="2:5" x14ac:dyDescent="0.2">
      <c r="C25" t="s">
        <v>23</v>
      </c>
      <c r="D25" s="1"/>
    </row>
    <row r="26" spans="2:5" x14ac:dyDescent="0.2">
      <c r="C26" s="5" t="s">
        <v>26</v>
      </c>
      <c r="D26" s="7">
        <f>(D20*D13)-D24</f>
        <v>23588.801029572878</v>
      </c>
      <c r="E26" s="6" t="s">
        <v>2</v>
      </c>
    </row>
    <row r="29" spans="2:5" ht="21" x14ac:dyDescent="0.25">
      <c r="B29" s="4">
        <v>94</v>
      </c>
      <c r="D29" s="2"/>
    </row>
    <row r="30" spans="2:5" x14ac:dyDescent="0.2">
      <c r="C30" t="s">
        <v>3</v>
      </c>
      <c r="D30" s="2">
        <v>12000000</v>
      </c>
      <c r="E30" t="s">
        <v>2</v>
      </c>
    </row>
    <row r="31" spans="2:5" x14ac:dyDescent="0.2">
      <c r="C31" t="s">
        <v>33</v>
      </c>
      <c r="D31" s="2">
        <v>1</v>
      </c>
      <c r="E31" t="s">
        <v>18</v>
      </c>
    </row>
    <row r="32" spans="2:5" x14ac:dyDescent="0.2">
      <c r="C32" t="s">
        <v>44</v>
      </c>
      <c r="D32" s="1">
        <v>0.185</v>
      </c>
      <c r="E32" t="s">
        <v>1</v>
      </c>
    </row>
    <row r="33" spans="2:5" x14ac:dyDescent="0.2">
      <c r="C33" t="s">
        <v>45</v>
      </c>
      <c r="D33" s="2">
        <v>252</v>
      </c>
      <c r="E33" t="s">
        <v>18</v>
      </c>
    </row>
    <row r="34" spans="2:5" x14ac:dyDescent="0.2">
      <c r="C34" t="s">
        <v>6</v>
      </c>
      <c r="D34" s="2"/>
    </row>
    <row r="35" spans="2:5" x14ac:dyDescent="0.2">
      <c r="C35" s="5" t="s">
        <v>4</v>
      </c>
      <c r="D35" s="7">
        <f>D30*(1+D32)^(D31/D33)</f>
        <v>12008085.712157192</v>
      </c>
      <c r="E35" s="6" t="s">
        <v>2</v>
      </c>
    </row>
    <row r="36" spans="2:5" x14ac:dyDescent="0.2">
      <c r="C36" t="s">
        <v>8</v>
      </c>
      <c r="D36" s="1"/>
    </row>
    <row r="37" spans="2:5" x14ac:dyDescent="0.2">
      <c r="C37" s="5" t="s">
        <v>28</v>
      </c>
      <c r="D37" s="10">
        <f>(D35/D30)-1</f>
        <v>6.7380934643268553E-4</v>
      </c>
      <c r="E37" s="6" t="s">
        <v>13</v>
      </c>
    </row>
    <row r="38" spans="2:5" x14ac:dyDescent="0.2">
      <c r="C38" s="5" t="s">
        <v>35</v>
      </c>
      <c r="D38" s="10">
        <f>(D35-D30)/D30</f>
        <v>6.7380934643264238E-4</v>
      </c>
      <c r="E38" s="6" t="s">
        <v>13</v>
      </c>
    </row>
    <row r="39" spans="2:5" x14ac:dyDescent="0.2">
      <c r="C39" s="5" t="s">
        <v>35</v>
      </c>
      <c r="D39" s="10">
        <f>((1+D32)^(D31/D33))-1</f>
        <v>6.7380934643268553E-4</v>
      </c>
      <c r="E39" s="6" t="s">
        <v>13</v>
      </c>
    </row>
    <row r="40" spans="2:5" x14ac:dyDescent="0.2">
      <c r="C40" t="s">
        <v>9</v>
      </c>
      <c r="D40" s="1"/>
    </row>
    <row r="41" spans="2:5" x14ac:dyDescent="0.2">
      <c r="C41" t="s">
        <v>46</v>
      </c>
      <c r="D41" s="2">
        <f>D33/12</f>
        <v>21</v>
      </c>
      <c r="E41" t="s">
        <v>18</v>
      </c>
    </row>
    <row r="42" spans="2:5" x14ac:dyDescent="0.2">
      <c r="C42" s="5" t="s">
        <v>28</v>
      </c>
      <c r="D42" s="9">
        <f>((1+D39)^D41)-1</f>
        <v>1.4245748385664836E-2</v>
      </c>
      <c r="E42" s="6" t="s">
        <v>0</v>
      </c>
    </row>
    <row r="45" spans="2:5" ht="21" x14ac:dyDescent="0.25">
      <c r="B45" s="4" t="s">
        <v>29</v>
      </c>
      <c r="D45" s="2"/>
    </row>
    <row r="46" spans="2:5" x14ac:dyDescent="0.2">
      <c r="C46" t="s">
        <v>3</v>
      </c>
      <c r="D46" s="2">
        <v>6000000</v>
      </c>
      <c r="E46" t="s">
        <v>2</v>
      </c>
    </row>
    <row r="47" spans="2:5" x14ac:dyDescent="0.2">
      <c r="C47" t="s">
        <v>33</v>
      </c>
      <c r="D47" s="2">
        <v>1</v>
      </c>
      <c r="E47" t="s">
        <v>18</v>
      </c>
    </row>
    <row r="48" spans="2:5" x14ac:dyDescent="0.2">
      <c r="C48" t="s">
        <v>30</v>
      </c>
      <c r="D48" s="1">
        <v>0.18</v>
      </c>
      <c r="E48" t="s">
        <v>1</v>
      </c>
    </row>
    <row r="49" spans="2:5" x14ac:dyDescent="0.2">
      <c r="C49" t="s">
        <v>31</v>
      </c>
      <c r="D49" s="1">
        <v>0.184</v>
      </c>
      <c r="E49" t="s">
        <v>1</v>
      </c>
    </row>
    <row r="50" spans="2:5" x14ac:dyDescent="0.2">
      <c r="C50" t="s">
        <v>32</v>
      </c>
      <c r="D50" s="1">
        <v>0.185</v>
      </c>
      <c r="E50" t="s">
        <v>1</v>
      </c>
    </row>
    <row r="51" spans="2:5" x14ac:dyDescent="0.2">
      <c r="C51" t="s">
        <v>27</v>
      </c>
      <c r="D51" s="2">
        <v>252</v>
      </c>
      <c r="E51" t="s">
        <v>18</v>
      </c>
    </row>
    <row r="52" spans="2:5" x14ac:dyDescent="0.2">
      <c r="C52" t="s">
        <v>6</v>
      </c>
      <c r="D52" s="2"/>
    </row>
    <row r="53" spans="2:5" x14ac:dyDescent="0.2">
      <c r="C53" s="5" t="s">
        <v>34</v>
      </c>
      <c r="D53" s="7">
        <f>D46*((1+D48)^(D47/D51))*((1+D49)^(D47/D51))*((1+D50)^(D47/D51))</f>
        <v>6012015.7237512739</v>
      </c>
      <c r="E53" s="6" t="s">
        <v>2</v>
      </c>
    </row>
    <row r="54" spans="2:5" x14ac:dyDescent="0.2">
      <c r="C54" t="s">
        <v>8</v>
      </c>
      <c r="D54" s="1"/>
    </row>
    <row r="55" spans="2:5" x14ac:dyDescent="0.2">
      <c r="C55" s="5" t="s">
        <v>28</v>
      </c>
      <c r="D55" s="10">
        <f>(D53-D46)/D46</f>
        <v>2.002620625212323E-3</v>
      </c>
      <c r="E55" s="6" t="s">
        <v>7</v>
      </c>
    </row>
    <row r="56" spans="2:5" x14ac:dyDescent="0.2">
      <c r="C56" s="5" t="s">
        <v>35</v>
      </c>
      <c r="D56" s="10">
        <f>D53/D46-1</f>
        <v>2.0026206252123924E-3</v>
      </c>
      <c r="E56" s="6" t="s">
        <v>7</v>
      </c>
    </row>
    <row r="57" spans="2:5" x14ac:dyDescent="0.2">
      <c r="C57" s="5" t="s">
        <v>35</v>
      </c>
      <c r="D57" s="10">
        <f>(((1+D48)^(D47/D51))*((1+D49)^(D47/D51))*((1+D50)^(D47/D51)))-1</f>
        <v>2.0026206252123924E-3</v>
      </c>
      <c r="E57" s="6" t="s">
        <v>7</v>
      </c>
    </row>
    <row r="58" spans="2:5" x14ac:dyDescent="0.2">
      <c r="D58" s="1"/>
    </row>
    <row r="60" spans="2:5" ht="21" x14ac:dyDescent="0.25">
      <c r="B60" s="4" t="s">
        <v>40</v>
      </c>
      <c r="D60" s="2"/>
    </row>
    <row r="61" spans="2:5" x14ac:dyDescent="0.2">
      <c r="C61" t="s">
        <v>3</v>
      </c>
      <c r="D61" s="2">
        <v>15000</v>
      </c>
      <c r="E61" t="s">
        <v>2</v>
      </c>
    </row>
    <row r="62" spans="2:5" x14ac:dyDescent="0.2">
      <c r="C62" t="s">
        <v>33</v>
      </c>
      <c r="D62" s="2">
        <v>1</v>
      </c>
      <c r="E62" t="s">
        <v>18</v>
      </c>
    </row>
    <row r="63" spans="2:5" x14ac:dyDescent="0.2">
      <c r="C63" t="s">
        <v>38</v>
      </c>
      <c r="D63" s="1">
        <v>0.9</v>
      </c>
    </row>
    <row r="64" spans="2:5" x14ac:dyDescent="0.2">
      <c r="C64" t="s">
        <v>36</v>
      </c>
      <c r="D64" s="1">
        <v>0.14230000000000001</v>
      </c>
      <c r="E64" t="s">
        <v>1</v>
      </c>
    </row>
    <row r="65" spans="2:6" x14ac:dyDescent="0.2">
      <c r="C65" t="s">
        <v>37</v>
      </c>
      <c r="D65" s="1">
        <v>0.14419999999999999</v>
      </c>
      <c r="E65" t="s">
        <v>1</v>
      </c>
    </row>
    <row r="66" spans="2:6" x14ac:dyDescent="0.2">
      <c r="C66" t="s">
        <v>27</v>
      </c>
      <c r="D66" s="2">
        <v>252</v>
      </c>
      <c r="E66" t="s">
        <v>18</v>
      </c>
    </row>
    <row r="67" spans="2:6" x14ac:dyDescent="0.2">
      <c r="C67" t="s">
        <v>6</v>
      </c>
      <c r="D67" s="2"/>
    </row>
    <row r="68" spans="2:6" x14ac:dyDescent="0.2">
      <c r="C68" s="5" t="s">
        <v>39</v>
      </c>
      <c r="D68" s="7">
        <f>D61*(1+((1+D64)^(D62/D66)-1)*D63)*(1+((1+D65)^(D62/D66)-1)*D63)</f>
        <v>15014.350963555986</v>
      </c>
      <c r="E68" s="6" t="s">
        <v>2</v>
      </c>
    </row>
    <row r="69" spans="2:6" x14ac:dyDescent="0.2">
      <c r="C69" t="s">
        <v>8</v>
      </c>
      <c r="D69" s="1"/>
    </row>
    <row r="70" spans="2:6" x14ac:dyDescent="0.2">
      <c r="C70" s="5" t="s">
        <v>28</v>
      </c>
      <c r="D70" s="10">
        <f>(D68-D61)/D61</f>
        <v>9.567309037323866E-4</v>
      </c>
      <c r="E70" s="6" t="s">
        <v>7</v>
      </c>
    </row>
    <row r="71" spans="2:6" x14ac:dyDescent="0.2">
      <c r="C71" t="s">
        <v>9</v>
      </c>
      <c r="D71" s="1"/>
    </row>
    <row r="72" spans="2:6" x14ac:dyDescent="0.2">
      <c r="C72" s="5" t="s">
        <v>41</v>
      </c>
      <c r="D72" s="10">
        <f>((1+D70)^(1/2))-1</f>
        <v>4.7825108981380815E-4</v>
      </c>
      <c r="E72" s="6" t="s">
        <v>13</v>
      </c>
      <c r="F72" t="s">
        <v>42</v>
      </c>
    </row>
    <row r="73" spans="2:6" x14ac:dyDescent="0.2">
      <c r="C73" s="3"/>
      <c r="D73" s="3"/>
      <c r="E73" s="3"/>
      <c r="F73" s="3"/>
    </row>
    <row r="74" spans="2:6" x14ac:dyDescent="0.2">
      <c r="C74" s="3"/>
      <c r="D74" s="3"/>
      <c r="E74" s="3"/>
      <c r="F74" s="3"/>
    </row>
    <row r="75" spans="2:6" ht="21" x14ac:dyDescent="0.25">
      <c r="B75" s="4" t="s">
        <v>43</v>
      </c>
      <c r="D75" s="2"/>
    </row>
    <row r="76" spans="2:6" x14ac:dyDescent="0.2">
      <c r="C76" t="s">
        <v>3</v>
      </c>
      <c r="D76" s="2">
        <v>150000</v>
      </c>
      <c r="E76" t="s">
        <v>2</v>
      </c>
    </row>
    <row r="77" spans="2:6" x14ac:dyDescent="0.2">
      <c r="C77" t="s">
        <v>47</v>
      </c>
      <c r="D77" s="2">
        <v>16</v>
      </c>
      <c r="E77" t="s">
        <v>18</v>
      </c>
    </row>
    <row r="78" spans="2:6" x14ac:dyDescent="0.2">
      <c r="C78" t="s">
        <v>30</v>
      </c>
      <c r="D78" s="1">
        <v>0.12</v>
      </c>
      <c r="E78" t="s">
        <v>1</v>
      </c>
    </row>
    <row r="79" spans="2:6" x14ac:dyDescent="0.2">
      <c r="C79" t="s">
        <v>48</v>
      </c>
      <c r="D79" s="2">
        <v>64</v>
      </c>
      <c r="E79" t="s">
        <v>18</v>
      </c>
    </row>
    <row r="80" spans="2:6" x14ac:dyDescent="0.2">
      <c r="C80" t="s">
        <v>31</v>
      </c>
      <c r="D80" s="1">
        <v>0.13500000000000001</v>
      </c>
      <c r="E80" t="s">
        <v>1</v>
      </c>
    </row>
    <row r="81" spans="2:5" x14ac:dyDescent="0.2">
      <c r="C81" t="s">
        <v>49</v>
      </c>
      <c r="D81" s="2">
        <v>37</v>
      </c>
      <c r="E81" t="s">
        <v>18</v>
      </c>
    </row>
    <row r="82" spans="2:5" x14ac:dyDescent="0.2">
      <c r="C82" t="s">
        <v>32</v>
      </c>
      <c r="D82" s="1">
        <v>0.08</v>
      </c>
      <c r="E82" t="s">
        <v>1</v>
      </c>
    </row>
    <row r="83" spans="2:5" x14ac:dyDescent="0.2">
      <c r="C83" t="s">
        <v>27</v>
      </c>
      <c r="D83" s="2">
        <v>252</v>
      </c>
      <c r="E83" t="s">
        <v>18</v>
      </c>
    </row>
    <row r="84" spans="2:5" x14ac:dyDescent="0.2">
      <c r="C84" t="s">
        <v>50</v>
      </c>
      <c r="D84" s="2">
        <v>1200</v>
      </c>
      <c r="E84" t="s">
        <v>2</v>
      </c>
    </row>
    <row r="85" spans="2:5" x14ac:dyDescent="0.2">
      <c r="C85" t="s">
        <v>51</v>
      </c>
      <c r="D85" s="2">
        <v>1288.1500000000001</v>
      </c>
      <c r="E85" t="s">
        <v>2</v>
      </c>
    </row>
    <row r="86" spans="2:5" x14ac:dyDescent="0.2">
      <c r="C86" t="s">
        <v>6</v>
      </c>
      <c r="D86" s="2"/>
    </row>
    <row r="87" spans="2:5" x14ac:dyDescent="0.2">
      <c r="B87"/>
      <c r="C87" s="5" t="s">
        <v>52</v>
      </c>
      <c r="D87" s="7">
        <f>D76*((1+D78)^(D77/D83))*((1+D80)^(D79/D83))*((1+D82)^(D81/D83))</f>
        <v>157794.14043070519</v>
      </c>
      <c r="E87" s="6" t="s">
        <v>2</v>
      </c>
    </row>
    <row r="88" spans="2:5" x14ac:dyDescent="0.2">
      <c r="B88"/>
      <c r="C88" t="s">
        <v>8</v>
      </c>
      <c r="D88" s="1"/>
    </row>
    <row r="89" spans="2:5" x14ac:dyDescent="0.2">
      <c r="C89" t="s">
        <v>5</v>
      </c>
      <c r="D89" s="1">
        <f>D85/D84-1</f>
        <v>7.3458333333333403E-2</v>
      </c>
      <c r="E89" t="s">
        <v>7</v>
      </c>
    </row>
    <row r="90" spans="2:5" x14ac:dyDescent="0.2">
      <c r="C90" t="s">
        <v>53</v>
      </c>
      <c r="D90" s="1">
        <f>(D87-D76)/D76</f>
        <v>5.1960936204701234E-2</v>
      </c>
      <c r="E90" t="s">
        <v>7</v>
      </c>
    </row>
    <row r="91" spans="2:5" x14ac:dyDescent="0.2">
      <c r="B91"/>
      <c r="C91" s="5" t="s">
        <v>54</v>
      </c>
      <c r="D91" s="6">
        <f>((1+D90)/(1+D89))-1</f>
        <v>-2.002629860991223E-2</v>
      </c>
      <c r="E91" s="6" t="s">
        <v>7</v>
      </c>
    </row>
    <row r="92" spans="2:5" x14ac:dyDescent="0.2">
      <c r="B92"/>
      <c r="C92" t="s">
        <v>56</v>
      </c>
      <c r="D92" s="2">
        <f>D77+D79+D81</f>
        <v>117</v>
      </c>
      <c r="E92" t="s">
        <v>18</v>
      </c>
    </row>
    <row r="93" spans="2:5" x14ac:dyDescent="0.2">
      <c r="C93" s="5" t="s">
        <v>55</v>
      </c>
      <c r="D93" s="6">
        <f>((1+D91)^(D83/D92))-1</f>
        <v>-4.2635730791425241E-2</v>
      </c>
      <c r="E93" s="6" t="s">
        <v>1</v>
      </c>
    </row>
    <row r="94" spans="2:5" x14ac:dyDescent="0.2">
      <c r="D94" s="2"/>
    </row>
    <row r="96" spans="2:5" x14ac:dyDescent="0.2">
      <c r="B96" s="3" t="s">
        <v>57</v>
      </c>
    </row>
    <row r="97" spans="2:5" x14ac:dyDescent="0.2">
      <c r="C97" t="s">
        <v>58</v>
      </c>
      <c r="D97">
        <v>10000</v>
      </c>
      <c r="E97" t="s">
        <v>2</v>
      </c>
    </row>
    <row r="98" spans="2:5" x14ac:dyDescent="0.2">
      <c r="C98" t="s">
        <v>59</v>
      </c>
      <c r="D98">
        <v>52</v>
      </c>
      <c r="E98" t="s">
        <v>60</v>
      </c>
    </row>
    <row r="99" spans="2:5" x14ac:dyDescent="0.2">
      <c r="C99" t="s">
        <v>61</v>
      </c>
      <c r="D99" s="12">
        <v>0.14419999999999999</v>
      </c>
      <c r="E99" t="s">
        <v>1</v>
      </c>
    </row>
    <row r="100" spans="2:5" x14ac:dyDescent="0.2">
      <c r="C100" t="s">
        <v>61</v>
      </c>
      <c r="D100" s="13">
        <f>(1+D99)^(1/252)-1</f>
        <v>5.3468933529843277E-4</v>
      </c>
      <c r="E100" t="s">
        <v>62</v>
      </c>
    </row>
    <row r="102" spans="2:5" x14ac:dyDescent="0.2">
      <c r="C102" t="s">
        <v>63</v>
      </c>
      <c r="D102" s="14">
        <v>0.92</v>
      </c>
      <c r="E102" t="s">
        <v>64</v>
      </c>
    </row>
    <row r="103" spans="2:5" x14ac:dyDescent="0.2">
      <c r="C103" t="s">
        <v>65</v>
      </c>
      <c r="D103" s="15">
        <f>D102*D100</f>
        <v>4.9191418847455821E-4</v>
      </c>
    </row>
    <row r="105" spans="2:5" x14ac:dyDescent="0.2">
      <c r="C105" t="s">
        <v>66</v>
      </c>
      <c r="D105" s="5">
        <f>D97*(1+D103)^D98</f>
        <v>10259.03049269493</v>
      </c>
    </row>
    <row r="108" spans="2:5" x14ac:dyDescent="0.2">
      <c r="B108" s="3" t="s">
        <v>67</v>
      </c>
    </row>
    <row r="109" spans="2:5" x14ac:dyDescent="0.2">
      <c r="C109" t="s">
        <v>63</v>
      </c>
      <c r="D109" s="14">
        <v>1.35</v>
      </c>
      <c r="E109" t="s">
        <v>64</v>
      </c>
    </row>
    <row r="111" spans="2:5" x14ac:dyDescent="0.2">
      <c r="C111" t="s">
        <v>68</v>
      </c>
      <c r="D111" s="12">
        <v>0.14249999999999999</v>
      </c>
      <c r="E111" t="s">
        <v>1</v>
      </c>
    </row>
    <row r="112" spans="2:5" x14ac:dyDescent="0.2">
      <c r="C112" t="s">
        <v>69</v>
      </c>
      <c r="D112">
        <v>126</v>
      </c>
      <c r="E112" t="s">
        <v>60</v>
      </c>
    </row>
    <row r="113" spans="2:5" x14ac:dyDescent="0.2">
      <c r="C113" t="s">
        <v>68</v>
      </c>
      <c r="D113" s="15">
        <f>(1+D111)^(1/252)-1</f>
        <v>5.2878596353256313E-4</v>
      </c>
    </row>
    <row r="114" spans="2:5" x14ac:dyDescent="0.2">
      <c r="C114" t="s">
        <v>73</v>
      </c>
      <c r="D114" s="16">
        <f>D113*D109</f>
        <v>7.1386105076896031E-4</v>
      </c>
    </row>
    <row r="116" spans="2:5" x14ac:dyDescent="0.2">
      <c r="C116" t="s">
        <v>70</v>
      </c>
      <c r="D116" s="12">
        <v>0.14749999999999999</v>
      </c>
      <c r="E116" t="s">
        <v>1</v>
      </c>
    </row>
    <row r="117" spans="2:5" x14ac:dyDescent="0.2">
      <c r="C117" t="s">
        <v>71</v>
      </c>
      <c r="D117">
        <v>63</v>
      </c>
      <c r="E117" t="s">
        <v>60</v>
      </c>
    </row>
    <row r="118" spans="2:5" x14ac:dyDescent="0.2">
      <c r="C118" t="s">
        <v>70</v>
      </c>
      <c r="D118" s="15">
        <f>(1+D116)^(1/252)-1</f>
        <v>5.4612392438491142E-4</v>
      </c>
    </row>
    <row r="119" spans="2:5" x14ac:dyDescent="0.2">
      <c r="C119" t="s">
        <v>72</v>
      </c>
      <c r="D119" s="16">
        <f>D118*D109</f>
        <v>7.3726729791963048E-4</v>
      </c>
    </row>
    <row r="121" spans="2:5" x14ac:dyDescent="0.2">
      <c r="C121" t="s">
        <v>74</v>
      </c>
      <c r="D121" s="6">
        <f>((1+D114)^D112)*((1+D119)^D117)-1</f>
        <v>0.14607736983898634</v>
      </c>
    </row>
    <row r="123" spans="2:5" x14ac:dyDescent="0.2">
      <c r="B123" s="3" t="s">
        <v>75</v>
      </c>
    </row>
    <row r="124" spans="2:5" x14ac:dyDescent="0.2">
      <c r="C124" t="s">
        <v>66</v>
      </c>
      <c r="D124" s="17">
        <v>9522</v>
      </c>
    </row>
    <row r="125" spans="2:5" x14ac:dyDescent="0.2">
      <c r="C125" t="s">
        <v>76</v>
      </c>
      <c r="D125">
        <v>14</v>
      </c>
      <c r="E125" t="s">
        <v>60</v>
      </c>
    </row>
    <row r="126" spans="2:5" x14ac:dyDescent="0.2">
      <c r="C126" t="s">
        <v>77</v>
      </c>
      <c r="D126" s="17">
        <v>9443</v>
      </c>
    </row>
    <row r="128" spans="2:5" x14ac:dyDescent="0.2">
      <c r="C128" t="s">
        <v>78</v>
      </c>
      <c r="D128" s="13">
        <f>D124/D126-1</f>
        <v>8.3659853860003075E-3</v>
      </c>
      <c r="E128" t="s">
        <v>79</v>
      </c>
    </row>
    <row r="130" spans="2:5" x14ac:dyDescent="0.2">
      <c r="C130" t="s">
        <v>78</v>
      </c>
      <c r="D130" s="6">
        <f>(1+D128)^(252/D125)-1</f>
        <v>0.16178930483073795</v>
      </c>
      <c r="E130" t="s">
        <v>80</v>
      </c>
    </row>
    <row r="132" spans="2:5" x14ac:dyDescent="0.2">
      <c r="C132" t="s">
        <v>81</v>
      </c>
      <c r="D132" s="17">
        <f>D126*(1+D130)^(D125/252)</f>
        <v>9522</v>
      </c>
    </row>
    <row r="134" spans="2:5" x14ac:dyDescent="0.2">
      <c r="B134" s="3" t="s">
        <v>82</v>
      </c>
    </row>
    <row r="135" spans="2:5" x14ac:dyDescent="0.2">
      <c r="C135" t="s">
        <v>83</v>
      </c>
      <c r="D135" s="12">
        <v>0.1464</v>
      </c>
      <c r="E135" t="s">
        <v>84</v>
      </c>
    </row>
    <row r="136" spans="2:5" x14ac:dyDescent="0.2">
      <c r="C136" t="s">
        <v>76</v>
      </c>
      <c r="D136">
        <v>52</v>
      </c>
      <c r="E136" t="s">
        <v>18</v>
      </c>
    </row>
    <row r="138" spans="2:5" x14ac:dyDescent="0.2">
      <c r="C138" t="s">
        <v>85</v>
      </c>
      <c r="D138" s="12">
        <v>0.1492</v>
      </c>
      <c r="E138" t="s">
        <v>84</v>
      </c>
    </row>
    <row r="139" spans="2:5" x14ac:dyDescent="0.2">
      <c r="C139" t="s">
        <v>86</v>
      </c>
      <c r="D139">
        <v>18</v>
      </c>
      <c r="E139" t="s">
        <v>18</v>
      </c>
    </row>
    <row r="141" spans="2:5" x14ac:dyDescent="0.2">
      <c r="C141" t="s">
        <v>87</v>
      </c>
      <c r="D141" s="19">
        <f>((1+D135)^(D136/252)/(1+D138)^(D139/252))-1</f>
        <v>1.8427224797071595E-2</v>
      </c>
      <c r="E141" t="s">
        <v>88</v>
      </c>
    </row>
    <row r="142" spans="2:5" x14ac:dyDescent="0.2">
      <c r="C142" t="s">
        <v>89</v>
      </c>
      <c r="D142" s="18">
        <f>D136-D139</f>
        <v>34</v>
      </c>
      <c r="E142" t="s">
        <v>18</v>
      </c>
    </row>
    <row r="143" spans="2:5" x14ac:dyDescent="0.2">
      <c r="C143" t="s">
        <v>87</v>
      </c>
      <c r="D143" s="6">
        <f>(1+D141)^(252/D142)-1</f>
        <v>0.14492041001861922</v>
      </c>
      <c r="E143" t="s">
        <v>84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lista_DI_SELIC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Rochman</dc:creator>
  <cp:lastModifiedBy>Theo Cotrim Martins</cp:lastModifiedBy>
  <dcterms:created xsi:type="dcterms:W3CDTF">2023-03-10T11:46:13Z</dcterms:created>
  <dcterms:modified xsi:type="dcterms:W3CDTF">2025-09-22T17:08:42Z</dcterms:modified>
</cp:coreProperties>
</file>