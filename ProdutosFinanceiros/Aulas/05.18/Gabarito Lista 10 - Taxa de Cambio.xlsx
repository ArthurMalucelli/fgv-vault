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roc\Dropbox\DOCSR3\Cursos\CGAE\2024\PRODFIN2o2024\"/>
    </mc:Choice>
  </mc:AlternateContent>
  <xr:revisionPtr revIDLastSave="0" documentId="13_ncr:1_{DC3D7AAB-B6AB-4D73-B719-AAE324410C29}" xr6:coauthVersionLast="47" xr6:coauthVersionMax="47" xr10:uidLastSave="{00000000-0000-0000-0000-000000000000}"/>
  <bookViews>
    <workbookView xWindow="-108" yWindow="-108" windowWidth="23256" windowHeight="12456" xr2:uid="{91899C13-3CEC-45DE-9BEE-8CE9D9A0461B}"/>
  </bookViews>
  <sheets>
    <sheet name="Lista Camb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1" l="1"/>
  <c r="I131" i="1" s="1"/>
  <c r="I132" i="1" s="1"/>
  <c r="F132" i="1"/>
  <c r="G115" i="1"/>
  <c r="E115" i="1"/>
  <c r="E116" i="1" s="1"/>
  <c r="E104" i="1"/>
  <c r="D94" i="1"/>
  <c r="F93" i="1"/>
  <c r="G93" i="1" s="1"/>
  <c r="G84" i="1"/>
  <c r="I82" i="1"/>
  <c r="C86" i="1"/>
  <c r="G71" i="1"/>
  <c r="G77" i="1" s="1"/>
  <c r="C76" i="1"/>
  <c r="C75" i="1"/>
  <c r="G76" i="1" s="1"/>
  <c r="F65" i="1"/>
  <c r="J65" i="1" s="1"/>
  <c r="L65" i="1" s="1"/>
  <c r="O65" i="1" s="1"/>
  <c r="C63" i="1"/>
  <c r="C54" i="1"/>
  <c r="C53" i="1"/>
  <c r="F41" i="1"/>
  <c r="F39" i="1"/>
  <c r="C43" i="1" s="1"/>
  <c r="F43" i="1" s="1"/>
  <c r="F37" i="1"/>
  <c r="F28" i="1"/>
  <c r="F26" i="1"/>
  <c r="F27" i="1" s="1"/>
  <c r="F29" i="1" s="1"/>
  <c r="C31" i="1" s="1"/>
  <c r="F17" i="1"/>
  <c r="D18" i="1"/>
  <c r="C21" i="1"/>
  <c r="F10" i="1"/>
  <c r="F8" i="1"/>
  <c r="F7" i="1"/>
  <c r="F6" i="1"/>
  <c r="F5" i="1"/>
  <c r="E117" i="1" l="1"/>
  <c r="G116" i="1"/>
  <c r="E105" i="1"/>
  <c r="G104" i="1"/>
  <c r="F94" i="1"/>
  <c r="G94" i="1" s="1"/>
  <c r="D95" i="1"/>
  <c r="D96" i="1"/>
  <c r="F95" i="1"/>
  <c r="D19" i="1"/>
  <c r="F18" i="1"/>
  <c r="I84" i="1"/>
  <c r="I86" i="1" s="1"/>
  <c r="G117" i="1" l="1"/>
  <c r="E118" i="1"/>
  <c r="E106" i="1"/>
  <c r="G105" i="1"/>
  <c r="F96" i="1"/>
  <c r="G96" i="1" s="1"/>
  <c r="D97" i="1"/>
  <c r="D98" i="1" s="1"/>
  <c r="F98" i="1" s="1"/>
  <c r="G98" i="1" s="1"/>
  <c r="G95" i="1"/>
  <c r="F19" i="1"/>
  <c r="D20" i="1"/>
  <c r="F20" i="1" s="1"/>
  <c r="F97" i="1"/>
  <c r="G118" i="1" l="1"/>
  <c r="E119" i="1"/>
  <c r="G119" i="1" s="1"/>
  <c r="G106" i="1"/>
  <c r="E107" i="1"/>
  <c r="G97" i="1"/>
  <c r="J98" i="1" s="1"/>
  <c r="J97" i="1"/>
  <c r="F21" i="1"/>
  <c r="G120" i="1" l="1"/>
  <c r="G107" i="1"/>
  <c r="E108" i="1"/>
  <c r="E109" i="1" l="1"/>
  <c r="G109" i="1" s="1"/>
  <c r="G108" i="1"/>
  <c r="G110" i="1" l="1"/>
</calcChain>
</file>

<file path=xl/sharedStrings.xml><?xml version="1.0" encoding="utf-8"?>
<sst xmlns="http://schemas.openxmlformats.org/spreadsheetml/2006/main" count="205" uniqueCount="80">
  <si>
    <t>1.       Uma empresa brasileira está avaliando um projeto de investimento de R$ 3.000.000 com duração de 3 anos. As receitas anuais estimadas são de US$ 400.000, US$ 500.000 e US$ 600.000. A taxa de desconto no Brasil é de 10% ao ano, e as taxas de câmbio R$/US$ projetadas para os próximos 3 anos são respectivamente: 4; 3, e 2. Calcule o VPL em R$ do projeto.</t>
  </si>
  <si>
    <t>2.       Uma empresa americana investiu US$100.000 em um projeto com fluxos de caixa anuais de US$30.000, US$40.000 e US$50.000 nos próximos três anos. Calcule a TIR do investimento em US$ e R$, considerando que a taxa de câmbio R$/US$ atual é 1,00, e que o Real vai se desvalorizar em relação ao Dólar 8% ao ano nos próximos 5 anos.</t>
  </si>
  <si>
    <t>3.       Um investidor brasileiro aplica R$ 500.000 em um título nos EUA, com taxa de retorno anual de 5%. O câmbio atual é R$ 5,00/USD. Quanto ele receberá em reais após 1 ano se o Real se valorizar 10% em relação ao Dólar no período de um ano?</t>
  </si>
  <si>
    <t>9.       Uma empresa brasileira quer investir nos EUA com uma projeção de câmbio que aumenta 3% ao ano, com taxa de câmbio atual de 1,20 BRLUSD. O investimento é de BRL 1 milhão, com fluxo de caixa anual de USD 200.000 nos próximos 5 anos. Calcule o VPL em BRL, sabendo que o custo de capital usado pela empresa é 12% ao ano. Qual é a TIR em USD?</t>
  </si>
  <si>
    <t>Fluxos de caixa</t>
  </si>
  <si>
    <t>Ano</t>
  </si>
  <si>
    <t>Moeda</t>
  </si>
  <si>
    <t>Câmbio</t>
  </si>
  <si>
    <t>Fluxo R$</t>
  </si>
  <si>
    <t>R$</t>
  </si>
  <si>
    <t>US$</t>
  </si>
  <si>
    <t>Taxa</t>
  </si>
  <si>
    <t>VPL</t>
  </si>
  <si>
    <t>Fluxos US$</t>
  </si>
  <si>
    <t>TIR (US$)</t>
  </si>
  <si>
    <t>Desvalorização</t>
  </si>
  <si>
    <t>TIR (R$)</t>
  </si>
  <si>
    <t>ao ano</t>
  </si>
  <si>
    <t>Investimento</t>
  </si>
  <si>
    <t>R$/US$</t>
  </si>
  <si>
    <t xml:space="preserve"> -------&gt;</t>
  </si>
  <si>
    <t>Valor</t>
  </si>
  <si>
    <t>Taxa cupom</t>
  </si>
  <si>
    <t>ao ano nominal</t>
  </si>
  <si>
    <t>Valor de face</t>
  </si>
  <si>
    <t>YTM</t>
  </si>
  <si>
    <t>4.       Um bond de 3 anos no mercado americano paga um cupom semestral nominal de 10% ao ano, e tem valor de face de US$100. Com uma taxa de retorno até o vencimento de 6% ao ano para fluxos em dólares, qual é o preço desse bond em Reais se a cotação do R$/US$ é 4,25?</t>
  </si>
  <si>
    <t>Preço</t>
  </si>
  <si>
    <t>ao semestre</t>
  </si>
  <si>
    <t>Prazo</t>
  </si>
  <si>
    <t>anos</t>
  </si>
  <si>
    <t>semestres</t>
  </si>
  <si>
    <t>ou</t>
  </si>
  <si>
    <t>Empréstimo</t>
  </si>
  <si>
    <t>5.       Uma empresa brasileira toma um empréstimo de US$200.000 nos EUA, com taxa de juros anual de 4%. Com câmbio de R$ 5,00/USD, qual o valor em reais após 2 anos?</t>
  </si>
  <si>
    <t>Brasil</t>
  </si>
  <si>
    <t>hoje</t>
  </si>
  <si>
    <t>1 ano</t>
  </si>
  <si>
    <t>6.       Se a taxa de juros anual no Brasil é de 12%, qual é a taxa de juros equivalente em dólar com uma taxa de câmbio atual de 5,5 BRL/USD, e prevista para 5 BRL/USD daqui 1 ano?</t>
  </si>
  <si>
    <t>EUA</t>
  </si>
  <si>
    <t>------&gt;</t>
  </si>
  <si>
    <t>ou, considere um valor arbitrário de investimento inicial em US$ que vai ser convertido em R$ e investido no Brasil:</t>
  </si>
  <si>
    <t>R$ ------&gt;</t>
  </si>
  <si>
    <t>Final 1 ano</t>
  </si>
  <si>
    <t>R$ -----&gt;</t>
  </si>
  <si>
    <t>US$ ----&gt;</t>
  </si>
  <si>
    <t>Inflação</t>
  </si>
  <si>
    <t>BR</t>
  </si>
  <si>
    <t>Daqui 1 ano:</t>
  </si>
  <si>
    <t>-------&gt;</t>
  </si>
  <si>
    <t>Taxa câmbio</t>
  </si>
  <si>
    <t>7.       Um combo de sanduíche Big Nhac é vendido no Brasil por R$ 55, e nos EUA por US$ 10. Como filosofia de negócio, a lanchonete que vende esse combo reajusta anualmente o preço pela inflação de cada país onde o comercializa. Para o próximo ano, a inflação anual esperada é de 6% no Brasil e 2% nos EUA. Qual deve ser a taxa de câmbio BRL/USD esperada para o próximo ano com base no preço do combo Big Nhac?</t>
  </si>
  <si>
    <t>US$ nos EUA</t>
  </si>
  <si>
    <t>hoje em R$/US$</t>
  </si>
  <si>
    <t>Saldo</t>
  </si>
  <si>
    <t>8.       Uma empresa brasileira toma um empréstimo de $500.000 nos EUA com uma taxa de 3% ao ano. Se o câmbio se desvaloriza 10% ao ano, qual é o juros efetivo total em Reais para a empresa? A taxa de câmbio atual é 2 BRLUSD.</t>
  </si>
  <si>
    <t>daqui 1 ano</t>
  </si>
  <si>
    <t>Saldo em R$</t>
  </si>
  <si>
    <t>Juros</t>
  </si>
  <si>
    <t>Custo capital</t>
  </si>
  <si>
    <t>Fluxo US$</t>
  </si>
  <si>
    <t>TIR</t>
  </si>
  <si>
    <t>ao ano para USD</t>
  </si>
  <si>
    <t>Cupom</t>
  </si>
  <si>
    <t>Euros/ano</t>
  </si>
  <si>
    <t>Valor face</t>
  </si>
  <si>
    <t>R$/Euro</t>
  </si>
  <si>
    <t>Valorização</t>
  </si>
  <si>
    <t>10.  Um investidor brasileiro compra, pelo valor de face, um bond europeu de 5 anos com cupom anual de €70 e valor de face de €1.000. O câmbio atual é R$ 6,00/€. Qual a taxa de retorno ao ano em reais do bond, assumindo que a taxa de câmbio do R$ em relação ao € se valoriza 2% ao ano?</t>
  </si>
  <si>
    <t>Ganhos</t>
  </si>
  <si>
    <t>11.  Um investidor nos EUA aplica US$50.000 em um projeto no Brasil, com ganhos anuais projetados de R$ 15.000 por 4 anos e uma taxa de câmbio que aumenta 3% ao ano (inicialmente em R$ 5,00/USD). Calcule a TIR para fluxo em dólares considerando o impacto cambial.</t>
  </si>
  <si>
    <t>ao ano para EUA</t>
  </si>
  <si>
    <t>daqui 6 meses</t>
  </si>
  <si>
    <t>12.  As taxas de juros anuais no Brasil e nos EUA são 12% e 4%, respectivamente. O câmbio atual é R$ 5,10/USD. Uma investidora toma emprestado US$ 1 milhão nos EUA e investe no Brasil. Se após 6 meses a taxa de câmbio for de R$ 4,80/USD, qual será o lucro em dólares da investidora se ela resgatar o investimento e pagar o empréstimo?</t>
  </si>
  <si>
    <t>investimento</t>
  </si>
  <si>
    <t>empréstimo</t>
  </si>
  <si>
    <t>Saldo investimento no Brasil em Reais após 6 meses</t>
  </si>
  <si>
    <t>Saldo empréstimo nos EUA em Dólares após 6 meses</t>
  </si>
  <si>
    <t>R$   ------&gt; em US$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</si>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</sst>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6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/>
    <xf numFmtId="4" fontId="2" fillId="0" borderId="0" xfId="0" applyNumberFormat="1" applyFont="1" applyAlignment="1">
      <alignment vertical="center"/>
    </xf>
    <xf numFmtId="4" fontId="2" fillId="0" borderId="0" xfId="0" applyNumberFormat="1" applyFont="1"/>
    <xf numFmtId="10" fontId="2" fillId="0" borderId="0" xfId="1" applyNumberFormat="1" applyFont="1"/>
    <xf numFmtId="3" fontId="2" fillId="0" borderId="0" xfId="0" applyNumberFormat="1" applyFont="1" applyAlignment="1">
      <alignment horizontal="center"/>
    </xf>
    <xf numFmtId="4" fontId="2" fillId="3" borderId="0" xfId="0" applyNumberFormat="1" applyFont="1" applyFill="1"/>
    <xf numFmtId="10" fontId="2" fillId="0" borderId="0" xfId="1" applyNumberFormat="1" applyFont="1" applyAlignment="1">
      <alignment vertical="center"/>
    </xf>
    <xf numFmtId="10" fontId="2" fillId="3" borderId="0" xfId="1" applyNumberFormat="1" applyFont="1" applyFill="1"/>
    <xf numFmtId="4" fontId="2" fillId="0" borderId="0" xfId="0" quotePrefix="1" applyNumberFormat="1" applyFont="1"/>
    <xf numFmtId="4" fontId="2" fillId="4" borderId="0" xfId="0" applyNumberFormat="1" applyFont="1" applyFill="1"/>
    <xf numFmtId="3" fontId="2" fillId="3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5985-B928-4F4D-86E0-E65EAEA8483D}">
  <dimension ref="A1:Q133"/>
  <sheetViews>
    <sheetView tabSelected="1" workbookViewId="0"/>
  </sheetViews>
  <sheetFormatPr defaultRowHeight="14.4" x14ac:dyDescent="0.3"/>
  <cols>
    <col min="1" max="1" width="8.88671875" style="2"/>
    <col min="2" max="2" width="8.88671875" style="2" customWidth="1"/>
    <col min="3" max="3" width="13.109375" style="2" bestFit="1" customWidth="1"/>
    <col min="4" max="5" width="8.88671875" style="2"/>
    <col min="6" max="6" width="12.33203125" style="2" bestFit="1" customWidth="1"/>
    <col min="7" max="7" width="10.77734375" style="2" bestFit="1" customWidth="1"/>
    <col min="8" max="8" width="7.44140625" style="2" customWidth="1"/>
    <col min="9" max="9" width="11.6640625" style="2" bestFit="1" customWidth="1"/>
    <col min="10" max="10" width="9.77734375" style="2" bestFit="1" customWidth="1"/>
    <col min="11" max="16384" width="8.88671875" style="2"/>
  </cols>
  <sheetData>
    <row r="1" spans="1:11" x14ac:dyDescent="0.3">
      <c r="A1" s="1"/>
    </row>
    <row r="2" spans="1:11" s="4" customFormat="1" ht="64.8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s="6" customFormat="1" x14ac:dyDescent="0.3">
      <c r="A3" s="5"/>
    </row>
    <row r="4" spans="1:11" s="6" customFormat="1" x14ac:dyDescent="0.3">
      <c r="A4" s="5"/>
      <c r="B4" s="6" t="s">
        <v>6</v>
      </c>
      <c r="C4" s="6" t="s">
        <v>4</v>
      </c>
      <c r="D4" s="6" t="s">
        <v>7</v>
      </c>
      <c r="E4" s="6" t="s">
        <v>5</v>
      </c>
      <c r="F4" s="6" t="s">
        <v>8</v>
      </c>
    </row>
    <row r="5" spans="1:11" s="6" customFormat="1" x14ac:dyDescent="0.3">
      <c r="A5" s="5"/>
      <c r="B5" s="6" t="s">
        <v>9</v>
      </c>
      <c r="C5" s="6">
        <v>-3000000</v>
      </c>
      <c r="E5" s="8">
        <v>0</v>
      </c>
      <c r="F5" s="6">
        <f>C5</f>
        <v>-3000000</v>
      </c>
    </row>
    <row r="6" spans="1:11" s="6" customFormat="1" x14ac:dyDescent="0.3">
      <c r="A6" s="5"/>
      <c r="B6" s="6" t="s">
        <v>10</v>
      </c>
      <c r="C6" s="6">
        <v>400000</v>
      </c>
      <c r="D6" s="6">
        <v>4</v>
      </c>
      <c r="E6" s="8">
        <v>1</v>
      </c>
      <c r="F6" s="6">
        <f>C6*D6</f>
        <v>1600000</v>
      </c>
    </row>
    <row r="7" spans="1:11" s="6" customFormat="1" x14ac:dyDescent="0.3">
      <c r="A7" s="5"/>
      <c r="B7" s="6" t="s">
        <v>10</v>
      </c>
      <c r="C7" s="6">
        <v>500000</v>
      </c>
      <c r="D7" s="6">
        <v>3</v>
      </c>
      <c r="E7" s="8">
        <v>2</v>
      </c>
      <c r="F7" s="6">
        <f t="shared" ref="F7:F8" si="0">C7*D7</f>
        <v>1500000</v>
      </c>
    </row>
    <row r="8" spans="1:11" s="6" customFormat="1" x14ac:dyDescent="0.3">
      <c r="A8" s="5"/>
      <c r="B8" s="6" t="s">
        <v>10</v>
      </c>
      <c r="C8" s="6">
        <v>600000</v>
      </c>
      <c r="D8" s="6">
        <v>2</v>
      </c>
      <c r="E8" s="8">
        <v>3</v>
      </c>
      <c r="F8" s="6">
        <f t="shared" si="0"/>
        <v>1200000</v>
      </c>
    </row>
    <row r="9" spans="1:11" s="6" customFormat="1" x14ac:dyDescent="0.3">
      <c r="A9" s="5"/>
      <c r="E9" s="6" t="s">
        <v>11</v>
      </c>
      <c r="F9" s="7">
        <v>0.1</v>
      </c>
    </row>
    <row r="10" spans="1:11" s="6" customFormat="1" x14ac:dyDescent="0.3">
      <c r="A10" s="5"/>
      <c r="E10" s="9" t="s">
        <v>12</v>
      </c>
      <c r="F10" s="9">
        <f>NPV(F9,F6:F8)+F5</f>
        <v>595792.63711495046</v>
      </c>
      <c r="G10" s="9" t="s">
        <v>9</v>
      </c>
      <c r="H10" s="9"/>
    </row>
    <row r="11" spans="1:11" s="6" customFormat="1" x14ac:dyDescent="0.3">
      <c r="A11" s="5"/>
    </row>
    <row r="12" spans="1:11" s="6" customFormat="1" x14ac:dyDescent="0.3">
      <c r="A12" s="5"/>
    </row>
    <row r="13" spans="1:11" s="4" customFormat="1" ht="64.8" customHeight="1" x14ac:dyDescent="0.3">
      <c r="A13" s="15" t="s">
        <v>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s="6" customFormat="1" x14ac:dyDescent="0.3">
      <c r="A14" s="5"/>
    </row>
    <row r="15" spans="1:11" s="6" customFormat="1" x14ac:dyDescent="0.3">
      <c r="A15" s="5"/>
      <c r="C15" s="6" t="s">
        <v>15</v>
      </c>
      <c r="D15" s="7">
        <v>0.08</v>
      </c>
      <c r="E15" s="6" t="s">
        <v>17</v>
      </c>
    </row>
    <row r="16" spans="1:11" s="6" customFormat="1" x14ac:dyDescent="0.3">
      <c r="A16" s="5"/>
      <c r="B16" s="6" t="s">
        <v>5</v>
      </c>
      <c r="C16" s="6" t="s">
        <v>13</v>
      </c>
      <c r="D16" s="6" t="s">
        <v>7</v>
      </c>
      <c r="E16" s="6" t="s">
        <v>5</v>
      </c>
      <c r="F16" s="6" t="s">
        <v>8</v>
      </c>
    </row>
    <row r="17" spans="1:11" s="6" customFormat="1" x14ac:dyDescent="0.3">
      <c r="A17" s="5"/>
      <c r="B17" s="8">
        <v>0</v>
      </c>
      <c r="C17" s="6">
        <v>-100000</v>
      </c>
      <c r="D17" s="6">
        <v>1</v>
      </c>
      <c r="E17" s="8">
        <v>0</v>
      </c>
      <c r="F17" s="6">
        <f>C17*D17</f>
        <v>-100000</v>
      </c>
    </row>
    <row r="18" spans="1:11" s="6" customFormat="1" x14ac:dyDescent="0.3">
      <c r="A18" s="5"/>
      <c r="B18" s="8">
        <v>1</v>
      </c>
      <c r="C18" s="6">
        <v>30000</v>
      </c>
      <c r="D18" s="6">
        <f>+D17*(1+$D$15)</f>
        <v>1.08</v>
      </c>
      <c r="E18" s="8">
        <v>1</v>
      </c>
      <c r="F18" s="6">
        <f t="shared" ref="F18:F20" si="1">C18*D18</f>
        <v>32400.000000000004</v>
      </c>
    </row>
    <row r="19" spans="1:11" s="6" customFormat="1" x14ac:dyDescent="0.3">
      <c r="A19" s="5"/>
      <c r="B19" s="8">
        <v>2</v>
      </c>
      <c r="C19" s="6">
        <v>40000</v>
      </c>
      <c r="D19" s="6">
        <f t="shared" ref="D19:D20" si="2">+D18*(1+$D$15)</f>
        <v>1.1664000000000001</v>
      </c>
      <c r="E19" s="8">
        <v>2</v>
      </c>
      <c r="F19" s="6">
        <f t="shared" si="1"/>
        <v>46656.000000000007</v>
      </c>
    </row>
    <row r="20" spans="1:11" s="7" customFormat="1" x14ac:dyDescent="0.3">
      <c r="A20" s="10"/>
      <c r="B20" s="8">
        <v>3</v>
      </c>
      <c r="C20" s="6">
        <v>50000</v>
      </c>
      <c r="D20" s="6">
        <f t="shared" si="2"/>
        <v>1.2597120000000002</v>
      </c>
      <c r="E20" s="8">
        <v>3</v>
      </c>
      <c r="F20" s="6">
        <f t="shared" si="1"/>
        <v>62985.600000000006</v>
      </c>
    </row>
    <row r="21" spans="1:11" s="6" customFormat="1" x14ac:dyDescent="0.3">
      <c r="A21" s="5"/>
      <c r="B21" s="11" t="s">
        <v>14</v>
      </c>
      <c r="C21" s="11">
        <f>IRR(C17:C20)</f>
        <v>8.8963394693349906E-2</v>
      </c>
      <c r="E21" s="9" t="s">
        <v>16</v>
      </c>
      <c r="F21" s="11">
        <f>IRR(F17:F20)</f>
        <v>0.17608046626881801</v>
      </c>
    </row>
    <row r="22" spans="1:11" s="6" customFormat="1" x14ac:dyDescent="0.3">
      <c r="A22" s="5"/>
    </row>
    <row r="23" spans="1:11" x14ac:dyDescent="0.3">
      <c r="A23" s="3"/>
    </row>
    <row r="24" spans="1:11" s="4" customFormat="1" ht="64.8" customHeight="1" x14ac:dyDescent="0.3">
      <c r="A24" s="15" t="s">
        <v>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s="6" customFormat="1" x14ac:dyDescent="0.3">
      <c r="A25" s="5"/>
    </row>
    <row r="26" spans="1:11" s="6" customFormat="1" x14ac:dyDescent="0.3">
      <c r="A26" s="5"/>
      <c r="B26" s="6" t="s">
        <v>18</v>
      </c>
      <c r="C26" s="6">
        <v>500000</v>
      </c>
      <c r="D26" s="6" t="s">
        <v>9</v>
      </c>
      <c r="E26" s="12" t="s">
        <v>20</v>
      </c>
      <c r="F26" s="6">
        <f>C26/C28</f>
        <v>100000</v>
      </c>
      <c r="G26" s="6" t="s">
        <v>10</v>
      </c>
    </row>
    <row r="27" spans="1:11" s="6" customFormat="1" x14ac:dyDescent="0.3">
      <c r="A27" s="5"/>
      <c r="B27" s="6" t="s">
        <v>11</v>
      </c>
      <c r="C27" s="7">
        <v>0.05</v>
      </c>
      <c r="D27" s="6" t="s">
        <v>17</v>
      </c>
      <c r="F27" s="6">
        <f>F26*(1+C27)</f>
        <v>105000</v>
      </c>
      <c r="G27" s="6" t="s">
        <v>10</v>
      </c>
    </row>
    <row r="28" spans="1:11" s="6" customFormat="1" x14ac:dyDescent="0.3">
      <c r="A28" s="5"/>
      <c r="B28" s="6" t="s">
        <v>7</v>
      </c>
      <c r="C28" s="6">
        <v>5</v>
      </c>
      <c r="D28" s="6" t="s">
        <v>19</v>
      </c>
      <c r="F28" s="6">
        <f>C28*(1+C29)</f>
        <v>5.5</v>
      </c>
      <c r="G28" s="6" t="s">
        <v>19</v>
      </c>
    </row>
    <row r="29" spans="1:11" s="6" customFormat="1" x14ac:dyDescent="0.3">
      <c r="A29" s="5"/>
      <c r="B29" s="6" t="s">
        <v>15</v>
      </c>
      <c r="C29" s="7">
        <v>0.1</v>
      </c>
      <c r="D29" s="6" t="s">
        <v>17</v>
      </c>
      <c r="F29" s="6">
        <f>F27*F28</f>
        <v>577500</v>
      </c>
      <c r="G29" s="6" t="s">
        <v>9</v>
      </c>
    </row>
    <row r="30" spans="1:11" s="6" customFormat="1" x14ac:dyDescent="0.3">
      <c r="A30" s="5"/>
    </row>
    <row r="31" spans="1:11" s="6" customFormat="1" x14ac:dyDescent="0.3">
      <c r="A31" s="5"/>
      <c r="B31" s="9" t="s">
        <v>21</v>
      </c>
      <c r="C31" s="9">
        <f>F29</f>
        <v>577500</v>
      </c>
      <c r="D31" s="9" t="s">
        <v>9</v>
      </c>
    </row>
    <row r="32" spans="1:11" s="6" customFormat="1" x14ac:dyDescent="0.3">
      <c r="A32" s="5"/>
    </row>
    <row r="33" spans="1:11" s="6" customFormat="1" x14ac:dyDescent="0.3">
      <c r="A33" s="5"/>
    </row>
    <row r="34" spans="1:11" x14ac:dyDescent="0.3">
      <c r="A34" s="3"/>
    </row>
    <row r="35" spans="1:11" s="4" customFormat="1" ht="64.8" customHeight="1" x14ac:dyDescent="0.3">
      <c r="A35" s="15" t="s">
        <v>26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s="6" customFormat="1" x14ac:dyDescent="0.3">
      <c r="A36" s="5"/>
    </row>
    <row r="37" spans="1:11" s="6" customFormat="1" x14ac:dyDescent="0.3">
      <c r="A37" s="5"/>
      <c r="B37" s="6" t="s">
        <v>22</v>
      </c>
      <c r="C37" s="7">
        <v>0.1</v>
      </c>
      <c r="D37" s="6" t="s">
        <v>23</v>
      </c>
      <c r="F37" s="7">
        <f>+C37/2</f>
        <v>0.05</v>
      </c>
      <c r="G37" s="6" t="s">
        <v>28</v>
      </c>
    </row>
    <row r="38" spans="1:11" s="6" customFormat="1" x14ac:dyDescent="0.3">
      <c r="A38" s="5"/>
      <c r="B38" s="6" t="s">
        <v>24</v>
      </c>
      <c r="C38" s="6">
        <v>100</v>
      </c>
      <c r="D38" s="6" t="s">
        <v>10</v>
      </c>
    </row>
    <row r="39" spans="1:11" s="6" customFormat="1" x14ac:dyDescent="0.3">
      <c r="A39" s="5"/>
      <c r="B39" s="6" t="s">
        <v>25</v>
      </c>
      <c r="C39" s="7">
        <v>0.06</v>
      </c>
      <c r="D39" s="6" t="s">
        <v>17</v>
      </c>
      <c r="F39" s="7">
        <f>RATE(2,,-1,1+C39)</f>
        <v>2.9563014101857649E-2</v>
      </c>
      <c r="G39" s="6" t="s">
        <v>28</v>
      </c>
    </row>
    <row r="40" spans="1:11" s="6" customFormat="1" x14ac:dyDescent="0.3">
      <c r="A40" s="5"/>
      <c r="B40" s="6" t="s">
        <v>7</v>
      </c>
      <c r="C40" s="6">
        <v>4.25</v>
      </c>
      <c r="D40" s="6" t="s">
        <v>19</v>
      </c>
    </row>
    <row r="41" spans="1:11" s="6" customFormat="1" x14ac:dyDescent="0.3">
      <c r="A41" s="5"/>
      <c r="B41" s="6" t="s">
        <v>29</v>
      </c>
      <c r="C41" s="6">
        <v>3</v>
      </c>
      <c r="D41" s="6" t="s">
        <v>30</v>
      </c>
      <c r="F41" s="6">
        <f>C41*2</f>
        <v>6</v>
      </c>
      <c r="G41" s="6" t="s">
        <v>31</v>
      </c>
    </row>
    <row r="42" spans="1:11" s="6" customFormat="1" x14ac:dyDescent="0.3">
      <c r="A42" s="5"/>
    </row>
    <row r="43" spans="1:11" s="6" customFormat="1" x14ac:dyDescent="0.3">
      <c r="A43" s="5"/>
      <c r="B43" s="9" t="s">
        <v>27</v>
      </c>
      <c r="C43" s="9">
        <f>-PV(F39,F41,C38*F37,C38)</f>
        <v>111.08715924575705</v>
      </c>
      <c r="D43" s="9" t="s">
        <v>10</v>
      </c>
      <c r="E43" s="9" t="s">
        <v>32</v>
      </c>
      <c r="F43" s="9">
        <f>C43*C40</f>
        <v>472.12042679446745</v>
      </c>
      <c r="G43" s="9" t="s">
        <v>9</v>
      </c>
      <c r="H43" s="9"/>
    </row>
    <row r="44" spans="1:11" s="6" customFormat="1" x14ac:dyDescent="0.3">
      <c r="A44" s="5"/>
    </row>
    <row r="45" spans="1:11" x14ac:dyDescent="0.3">
      <c r="A45" s="3"/>
    </row>
    <row r="46" spans="1:11" s="4" customFormat="1" ht="64.8" customHeight="1" x14ac:dyDescent="0.3">
      <c r="A46" s="15" t="s">
        <v>34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s="6" customFormat="1" x14ac:dyDescent="0.3">
      <c r="A47" s="5"/>
    </row>
    <row r="48" spans="1:11" s="6" customFormat="1" x14ac:dyDescent="0.3">
      <c r="A48" s="5"/>
      <c r="B48" s="6" t="s">
        <v>33</v>
      </c>
      <c r="C48" s="6">
        <v>200000</v>
      </c>
      <c r="D48" s="6" t="s">
        <v>10</v>
      </c>
    </row>
    <row r="49" spans="1:11" s="6" customFormat="1" x14ac:dyDescent="0.3">
      <c r="A49" s="5"/>
      <c r="B49" s="6" t="s">
        <v>11</v>
      </c>
      <c r="C49" s="7">
        <v>0.04</v>
      </c>
      <c r="D49" s="6" t="s">
        <v>17</v>
      </c>
    </row>
    <row r="50" spans="1:11" s="6" customFormat="1" x14ac:dyDescent="0.3">
      <c r="A50" s="5"/>
      <c r="B50" s="6" t="s">
        <v>7</v>
      </c>
      <c r="C50" s="6">
        <v>5</v>
      </c>
      <c r="D50" s="6" t="s">
        <v>19</v>
      </c>
    </row>
    <row r="51" spans="1:11" s="6" customFormat="1" x14ac:dyDescent="0.3">
      <c r="A51" s="5"/>
      <c r="B51" s="6" t="s">
        <v>29</v>
      </c>
      <c r="C51" s="6">
        <v>2</v>
      </c>
      <c r="D51" s="6" t="s">
        <v>30</v>
      </c>
    </row>
    <row r="52" spans="1:11" s="6" customFormat="1" x14ac:dyDescent="0.3">
      <c r="A52" s="5"/>
    </row>
    <row r="53" spans="1:11" s="6" customFormat="1" x14ac:dyDescent="0.3">
      <c r="A53" s="5"/>
      <c r="B53" s="9" t="s">
        <v>21</v>
      </c>
      <c r="C53" s="9">
        <f>C50*FV(C49,C51,,-C48)</f>
        <v>1081600.0000000002</v>
      </c>
      <c r="D53" s="9" t="s">
        <v>9</v>
      </c>
    </row>
    <row r="54" spans="1:11" s="6" customFormat="1" x14ac:dyDescent="0.3">
      <c r="A54" s="5"/>
      <c r="B54" s="6" t="s">
        <v>32</v>
      </c>
      <c r="C54" s="6">
        <f>C50*C48*(1+C49)^C51</f>
        <v>1081600.0000000002</v>
      </c>
    </row>
    <row r="55" spans="1:11" s="6" customFormat="1" x14ac:dyDescent="0.3">
      <c r="A55" s="5"/>
    </row>
    <row r="56" spans="1:11" x14ac:dyDescent="0.3">
      <c r="A56" s="3"/>
    </row>
    <row r="57" spans="1:11" s="4" customFormat="1" ht="64.8" customHeight="1" x14ac:dyDescent="0.3">
      <c r="A57" s="15" t="s">
        <v>38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s="6" customFormat="1" x14ac:dyDescent="0.3">
      <c r="A58" s="5"/>
    </row>
    <row r="59" spans="1:11" s="6" customFormat="1" x14ac:dyDescent="0.3">
      <c r="A59" s="5"/>
      <c r="B59" s="6" t="s">
        <v>11</v>
      </c>
      <c r="C59" s="7">
        <v>0.12</v>
      </c>
      <c r="D59" s="6" t="s">
        <v>17</v>
      </c>
      <c r="E59" s="6" t="s">
        <v>35</v>
      </c>
    </row>
    <row r="60" spans="1:11" s="6" customFormat="1" x14ac:dyDescent="0.3">
      <c r="A60" s="5"/>
      <c r="B60" s="6" t="s">
        <v>7</v>
      </c>
      <c r="C60" s="6">
        <v>5.5</v>
      </c>
      <c r="D60" s="6" t="s">
        <v>19</v>
      </c>
      <c r="E60" s="6" t="s">
        <v>36</v>
      </c>
    </row>
    <row r="61" spans="1:11" s="6" customFormat="1" x14ac:dyDescent="0.3">
      <c r="A61" s="5"/>
      <c r="B61" s="6" t="s">
        <v>7</v>
      </c>
      <c r="C61" s="6">
        <v>5</v>
      </c>
      <c r="D61" s="6" t="s">
        <v>19</v>
      </c>
      <c r="E61" s="6" t="s">
        <v>37</v>
      </c>
    </row>
    <row r="62" spans="1:11" s="6" customFormat="1" x14ac:dyDescent="0.3">
      <c r="A62" s="5"/>
    </row>
    <row r="63" spans="1:11" s="6" customFormat="1" x14ac:dyDescent="0.3">
      <c r="A63" s="5"/>
      <c r="B63" s="9" t="s">
        <v>11</v>
      </c>
      <c r="C63" s="11">
        <f>((1+C59)/(C61/C60))-1</f>
        <v>0.23200000000000021</v>
      </c>
      <c r="D63" s="9" t="s">
        <v>17</v>
      </c>
      <c r="E63" s="9" t="s">
        <v>39</v>
      </c>
    </row>
    <row r="64" spans="1:11" s="6" customFormat="1" x14ac:dyDescent="0.3">
      <c r="A64" s="5"/>
      <c r="B64" s="6" t="s">
        <v>41</v>
      </c>
    </row>
    <row r="65" spans="1:17" s="6" customFormat="1" x14ac:dyDescent="0.3">
      <c r="A65" s="5"/>
      <c r="B65" s="6" t="s">
        <v>18</v>
      </c>
      <c r="C65" s="13">
        <v>1278</v>
      </c>
      <c r="D65" s="6" t="s">
        <v>10</v>
      </c>
      <c r="E65" s="12" t="s">
        <v>40</v>
      </c>
      <c r="F65" s="6">
        <f>C65*C60</f>
        <v>7029</v>
      </c>
      <c r="G65" s="6" t="s">
        <v>42</v>
      </c>
      <c r="I65" s="6" t="s">
        <v>43</v>
      </c>
      <c r="J65" s="6">
        <f>F65*(1+C59)</f>
        <v>7872.4800000000005</v>
      </c>
      <c r="K65" s="6" t="s">
        <v>44</v>
      </c>
      <c r="L65" s="6">
        <f>J65/C61</f>
        <v>1574.4960000000001</v>
      </c>
      <c r="M65" s="6" t="s">
        <v>45</v>
      </c>
      <c r="N65" s="9" t="s">
        <v>11</v>
      </c>
      <c r="O65" s="11">
        <f>(L65-C65)/C65</f>
        <v>0.23200000000000007</v>
      </c>
      <c r="P65" s="9" t="s">
        <v>17</v>
      </c>
      <c r="Q65" s="9" t="s">
        <v>39</v>
      </c>
    </row>
    <row r="66" spans="1:17" s="6" customFormat="1" x14ac:dyDescent="0.3">
      <c r="A66" s="5"/>
    </row>
    <row r="67" spans="1:17" x14ac:dyDescent="0.3">
      <c r="A67" s="3"/>
    </row>
    <row r="68" spans="1:17" s="4" customFormat="1" ht="64.8" customHeight="1" x14ac:dyDescent="0.3">
      <c r="A68" s="15" t="s">
        <v>51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7" s="6" customFormat="1" x14ac:dyDescent="0.3">
      <c r="A69" s="5"/>
    </row>
    <row r="70" spans="1:17" s="6" customFormat="1" x14ac:dyDescent="0.3">
      <c r="A70" s="5"/>
      <c r="B70" s="6" t="s">
        <v>27</v>
      </c>
      <c r="C70" s="6">
        <v>55</v>
      </c>
      <c r="D70" s="6" t="s">
        <v>9</v>
      </c>
    </row>
    <row r="71" spans="1:17" s="6" customFormat="1" x14ac:dyDescent="0.3">
      <c r="A71" s="5"/>
      <c r="B71" s="6" t="s">
        <v>27</v>
      </c>
      <c r="C71" s="6">
        <v>10</v>
      </c>
      <c r="D71" s="6" t="s">
        <v>10</v>
      </c>
      <c r="F71" s="6" t="s">
        <v>50</v>
      </c>
      <c r="G71" s="6">
        <f>C70/C71</f>
        <v>5.5</v>
      </c>
      <c r="I71" s="6" t="s">
        <v>53</v>
      </c>
    </row>
    <row r="72" spans="1:17" s="6" customFormat="1" x14ac:dyDescent="0.3">
      <c r="A72" s="5"/>
      <c r="B72" s="6" t="s">
        <v>46</v>
      </c>
      <c r="C72" s="7">
        <v>0.06</v>
      </c>
      <c r="D72" s="6" t="s">
        <v>47</v>
      </c>
      <c r="E72" s="6" t="s">
        <v>17</v>
      </c>
    </row>
    <row r="73" spans="1:17" s="6" customFormat="1" x14ac:dyDescent="0.3">
      <c r="A73" s="5"/>
      <c r="B73" s="6" t="s">
        <v>46</v>
      </c>
      <c r="C73" s="7">
        <v>0.02</v>
      </c>
      <c r="D73" s="6" t="s">
        <v>39</v>
      </c>
      <c r="E73" s="6" t="s">
        <v>17</v>
      </c>
    </row>
    <row r="74" spans="1:17" s="6" customFormat="1" x14ac:dyDescent="0.3">
      <c r="A74" s="5"/>
      <c r="B74" s="6" t="s">
        <v>48</v>
      </c>
    </row>
    <row r="75" spans="1:17" s="6" customFormat="1" x14ac:dyDescent="0.3">
      <c r="A75" s="5"/>
      <c r="B75" s="6" t="s">
        <v>27</v>
      </c>
      <c r="C75" s="6">
        <f>C70*(1+C72)</f>
        <v>58.300000000000004</v>
      </c>
      <c r="D75" s="6" t="s">
        <v>9</v>
      </c>
    </row>
    <row r="76" spans="1:17" s="6" customFormat="1" x14ac:dyDescent="0.3">
      <c r="A76" s="5"/>
      <c r="B76" s="6" t="s">
        <v>27</v>
      </c>
      <c r="C76" s="6">
        <f>C71*(1+C73)</f>
        <v>10.199999999999999</v>
      </c>
      <c r="D76" s="6" t="s">
        <v>10</v>
      </c>
      <c r="E76" s="12" t="s">
        <v>49</v>
      </c>
      <c r="F76" s="9" t="s">
        <v>50</v>
      </c>
      <c r="G76" s="9">
        <f>C75/C76</f>
        <v>5.7156862745098049</v>
      </c>
      <c r="H76" s="9"/>
      <c r="I76" s="9" t="s">
        <v>19</v>
      </c>
    </row>
    <row r="77" spans="1:17" s="6" customFormat="1" x14ac:dyDescent="0.3">
      <c r="A77" s="5"/>
      <c r="F77" s="6" t="s">
        <v>32</v>
      </c>
      <c r="G77" s="6">
        <f>G71*(1+C72)/(1+C73)</f>
        <v>5.715686274509804</v>
      </c>
    </row>
    <row r="78" spans="1:17" x14ac:dyDescent="0.3">
      <c r="A78" s="3"/>
    </row>
    <row r="79" spans="1:17" s="4" customFormat="1" ht="64.8" customHeight="1" x14ac:dyDescent="0.3">
      <c r="A79" s="15" t="s">
        <v>55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7" s="6" customFormat="1" x14ac:dyDescent="0.3">
      <c r="A80" s="5"/>
    </row>
    <row r="81" spans="1:11" s="6" customFormat="1" x14ac:dyDescent="0.3">
      <c r="A81" s="5"/>
      <c r="G81" s="6" t="s">
        <v>7</v>
      </c>
      <c r="I81" s="6" t="s">
        <v>57</v>
      </c>
    </row>
    <row r="82" spans="1:11" s="6" customFormat="1" x14ac:dyDescent="0.3">
      <c r="A82" s="5"/>
      <c r="B82" s="6" t="s">
        <v>33</v>
      </c>
      <c r="C82" s="6">
        <v>500000</v>
      </c>
      <c r="D82" s="6" t="s">
        <v>52</v>
      </c>
      <c r="F82" s="6" t="s">
        <v>36</v>
      </c>
      <c r="G82" s="6">
        <v>2</v>
      </c>
      <c r="I82" s="6">
        <f>C82*G82</f>
        <v>1000000</v>
      </c>
    </row>
    <row r="83" spans="1:11" s="6" customFormat="1" x14ac:dyDescent="0.3">
      <c r="A83" s="5"/>
      <c r="B83" s="6" t="s">
        <v>11</v>
      </c>
      <c r="C83" s="7">
        <v>0.03</v>
      </c>
      <c r="D83" s="6" t="s">
        <v>17</v>
      </c>
    </row>
    <row r="84" spans="1:11" s="6" customFormat="1" x14ac:dyDescent="0.3">
      <c r="A84" s="5"/>
      <c r="B84" s="6" t="s">
        <v>15</v>
      </c>
      <c r="C84" s="7">
        <v>0.1</v>
      </c>
      <c r="D84" s="6" t="s">
        <v>17</v>
      </c>
      <c r="F84" s="6" t="s">
        <v>56</v>
      </c>
      <c r="G84" s="6">
        <f>+G82*(1+C84)</f>
        <v>2.2000000000000002</v>
      </c>
      <c r="I84" s="6">
        <f>C86*G84</f>
        <v>1133000</v>
      </c>
    </row>
    <row r="85" spans="1:11" s="6" customFormat="1" x14ac:dyDescent="0.3">
      <c r="A85" s="5"/>
    </row>
    <row r="86" spans="1:11" s="6" customFormat="1" x14ac:dyDescent="0.3">
      <c r="A86" s="5"/>
      <c r="B86" s="6" t="s">
        <v>54</v>
      </c>
      <c r="C86" s="6">
        <f>C82*(1+C83)</f>
        <v>515000</v>
      </c>
      <c r="D86" s="6" t="s">
        <v>52</v>
      </c>
      <c r="G86" s="9" t="s">
        <v>58</v>
      </c>
      <c r="H86" s="9"/>
      <c r="I86" s="9">
        <f>I84-I82</f>
        <v>133000</v>
      </c>
      <c r="J86" s="9" t="s">
        <v>9</v>
      </c>
    </row>
    <row r="87" spans="1:11" s="6" customFormat="1" x14ac:dyDescent="0.3">
      <c r="A87" s="5"/>
    </row>
    <row r="88" spans="1:11" s="6" customFormat="1" x14ac:dyDescent="0.3">
      <c r="A88" s="5"/>
    </row>
    <row r="89" spans="1:11" x14ac:dyDescent="0.3">
      <c r="A89" s="3"/>
    </row>
    <row r="90" spans="1:11" s="4" customFormat="1" ht="64.8" customHeight="1" x14ac:dyDescent="0.3">
      <c r="A90" s="15" t="s">
        <v>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s="6" customFormat="1" x14ac:dyDescent="0.3">
      <c r="A91" s="5"/>
    </row>
    <row r="92" spans="1:11" s="6" customFormat="1" x14ac:dyDescent="0.3">
      <c r="A92" s="5"/>
      <c r="B92" s="6" t="s">
        <v>6</v>
      </c>
      <c r="C92" s="6" t="s">
        <v>4</v>
      </c>
      <c r="D92" s="6" t="s">
        <v>7</v>
      </c>
      <c r="E92" s="6" t="s">
        <v>5</v>
      </c>
      <c r="F92" s="6" t="s">
        <v>8</v>
      </c>
      <c r="G92" s="6" t="s">
        <v>60</v>
      </c>
    </row>
    <row r="93" spans="1:11" s="6" customFormat="1" x14ac:dyDescent="0.3">
      <c r="A93" s="5"/>
      <c r="B93" s="6" t="s">
        <v>9</v>
      </c>
      <c r="C93" s="6">
        <v>-1000000</v>
      </c>
      <c r="D93" s="6">
        <v>1.2</v>
      </c>
      <c r="E93" s="8">
        <v>0</v>
      </c>
      <c r="F93" s="6">
        <f>C93</f>
        <v>-1000000</v>
      </c>
      <c r="G93" s="6">
        <f>F93/D93</f>
        <v>-833333.33333333337</v>
      </c>
      <c r="I93" s="6" t="s">
        <v>15</v>
      </c>
      <c r="J93" s="7">
        <v>0.03</v>
      </c>
      <c r="K93" s="6" t="s">
        <v>17</v>
      </c>
    </row>
    <row r="94" spans="1:11" s="6" customFormat="1" x14ac:dyDescent="0.3">
      <c r="A94" s="5"/>
      <c r="B94" s="6" t="s">
        <v>10</v>
      </c>
      <c r="C94" s="6">
        <v>200000</v>
      </c>
      <c r="D94" s="6">
        <f>D93*(1+$J$93)</f>
        <v>1.236</v>
      </c>
      <c r="E94" s="8">
        <v>1</v>
      </c>
      <c r="F94" s="6">
        <f>C94*D94</f>
        <v>247200</v>
      </c>
      <c r="G94" s="6">
        <f t="shared" ref="G94:G98" si="3">F94/D94</f>
        <v>200000</v>
      </c>
    </row>
    <row r="95" spans="1:11" s="6" customFormat="1" x14ac:dyDescent="0.3">
      <c r="A95" s="5"/>
      <c r="B95" s="6" t="s">
        <v>10</v>
      </c>
      <c r="C95" s="6">
        <v>200000</v>
      </c>
      <c r="D95" s="6">
        <f t="shared" ref="D95:D98" si="4">D94*(1+$J$93)</f>
        <v>1.27308</v>
      </c>
      <c r="E95" s="8">
        <v>2</v>
      </c>
      <c r="F95" s="6">
        <f t="shared" ref="F95:F96" si="5">C95*D95</f>
        <v>254616</v>
      </c>
      <c r="G95" s="6">
        <f t="shared" si="3"/>
        <v>200000</v>
      </c>
      <c r="I95" s="6" t="s">
        <v>59</v>
      </c>
      <c r="J95" s="7">
        <v>0.12</v>
      </c>
      <c r="K95" s="6" t="s">
        <v>17</v>
      </c>
    </row>
    <row r="96" spans="1:11" s="6" customFormat="1" x14ac:dyDescent="0.3">
      <c r="A96" s="5"/>
      <c r="B96" s="6" t="s">
        <v>10</v>
      </c>
      <c r="C96" s="6">
        <v>200000</v>
      </c>
      <c r="D96" s="6">
        <f t="shared" si="4"/>
        <v>1.3112724</v>
      </c>
      <c r="E96" s="8">
        <v>3</v>
      </c>
      <c r="F96" s="6">
        <f t="shared" si="5"/>
        <v>262254.48</v>
      </c>
      <c r="G96" s="6">
        <f t="shared" si="3"/>
        <v>199999.99999999997</v>
      </c>
    </row>
    <row r="97" spans="1:12" s="6" customFormat="1" x14ac:dyDescent="0.3">
      <c r="A97" s="5"/>
      <c r="B97" s="6" t="s">
        <v>10</v>
      </c>
      <c r="C97" s="6">
        <v>200000</v>
      </c>
      <c r="D97" s="6">
        <f t="shared" si="4"/>
        <v>1.3506105720000001</v>
      </c>
      <c r="E97" s="8">
        <v>4</v>
      </c>
      <c r="F97" s="6">
        <f t="shared" ref="F97:F98" si="6">C97*D97</f>
        <v>270122.11440000002</v>
      </c>
      <c r="G97" s="6">
        <f t="shared" si="3"/>
        <v>200000</v>
      </c>
      <c r="I97" s="9" t="s">
        <v>12</v>
      </c>
      <c r="J97" s="9">
        <f>NPV(J95,F94:F98)+F93</f>
        <v>-60099.573821395286</v>
      </c>
      <c r="K97" s="9" t="s">
        <v>9</v>
      </c>
      <c r="L97" s="9"/>
    </row>
    <row r="98" spans="1:12" s="6" customFormat="1" x14ac:dyDescent="0.3">
      <c r="A98" s="5"/>
      <c r="B98" s="6" t="s">
        <v>10</v>
      </c>
      <c r="C98" s="6">
        <v>200000</v>
      </c>
      <c r="D98" s="6">
        <f t="shared" si="4"/>
        <v>1.3911288891600002</v>
      </c>
      <c r="E98" s="8">
        <v>5</v>
      </c>
      <c r="F98" s="6">
        <f t="shared" si="6"/>
        <v>278225.77783200005</v>
      </c>
      <c r="G98" s="6">
        <f t="shared" si="3"/>
        <v>200000</v>
      </c>
      <c r="I98" s="9" t="s">
        <v>61</v>
      </c>
      <c r="J98" s="11">
        <f>IRR(G93:G98)</f>
        <v>6.4022407643100854E-2</v>
      </c>
      <c r="K98" s="9" t="s">
        <v>62</v>
      </c>
      <c r="L98" s="9"/>
    </row>
    <row r="99" spans="1:12" s="6" customFormat="1" x14ac:dyDescent="0.3">
      <c r="A99" s="5"/>
    </row>
    <row r="100" spans="1:12" x14ac:dyDescent="0.3">
      <c r="A100" s="3"/>
    </row>
    <row r="101" spans="1:12" s="4" customFormat="1" ht="64.8" customHeight="1" x14ac:dyDescent="0.3">
      <c r="A101" s="15" t="s">
        <v>68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2" s="6" customFormat="1" x14ac:dyDescent="0.3">
      <c r="A102" s="5"/>
    </row>
    <row r="103" spans="1:12" s="6" customFormat="1" x14ac:dyDescent="0.3">
      <c r="A103" s="5"/>
      <c r="B103" s="6" t="s">
        <v>29</v>
      </c>
      <c r="C103" s="6">
        <v>5</v>
      </c>
      <c r="D103" s="6" t="s">
        <v>30</v>
      </c>
      <c r="E103" s="6" t="s">
        <v>7</v>
      </c>
      <c r="F103" s="6" t="s">
        <v>5</v>
      </c>
      <c r="G103" s="6" t="s">
        <v>8</v>
      </c>
    </row>
    <row r="104" spans="1:12" s="6" customFormat="1" x14ac:dyDescent="0.3">
      <c r="A104" s="5"/>
      <c r="B104" s="6" t="s">
        <v>63</v>
      </c>
      <c r="C104" s="6">
        <v>70</v>
      </c>
      <c r="D104" s="6" t="s">
        <v>64</v>
      </c>
      <c r="E104" s="6">
        <f>C106</f>
        <v>6</v>
      </c>
      <c r="F104" s="8">
        <v>0</v>
      </c>
      <c r="G104" s="6">
        <f>-C105*E104</f>
        <v>-6000</v>
      </c>
    </row>
    <row r="105" spans="1:12" s="6" customFormat="1" x14ac:dyDescent="0.3">
      <c r="A105" s="5"/>
      <c r="B105" s="6" t="s">
        <v>65</v>
      </c>
      <c r="C105" s="6">
        <v>1000</v>
      </c>
      <c r="E105" s="6">
        <f>E104*(1-$C$107)</f>
        <v>5.88</v>
      </c>
      <c r="F105" s="8">
        <v>1</v>
      </c>
      <c r="G105" s="6">
        <f>$C$104*E105</f>
        <v>411.59999999999997</v>
      </c>
    </row>
    <row r="106" spans="1:12" s="6" customFormat="1" x14ac:dyDescent="0.3">
      <c r="A106" s="5"/>
      <c r="B106" s="6" t="s">
        <v>7</v>
      </c>
      <c r="C106" s="6">
        <v>6</v>
      </c>
      <c r="D106" s="6" t="s">
        <v>66</v>
      </c>
      <c r="E106" s="6">
        <f t="shared" ref="E106:E109" si="7">E105*(1-$C$107)</f>
        <v>5.7623999999999995</v>
      </c>
      <c r="F106" s="8">
        <v>2</v>
      </c>
      <c r="G106" s="6">
        <f t="shared" ref="G106:G108" si="8">$C$104*E106</f>
        <v>403.36799999999994</v>
      </c>
    </row>
    <row r="107" spans="1:12" s="6" customFormat="1" x14ac:dyDescent="0.3">
      <c r="A107" s="5"/>
      <c r="B107" s="6" t="s">
        <v>67</v>
      </c>
      <c r="C107" s="7">
        <v>0.02</v>
      </c>
      <c r="D107" s="6" t="s">
        <v>17</v>
      </c>
      <c r="E107" s="6">
        <f t="shared" si="7"/>
        <v>5.6471519999999993</v>
      </c>
      <c r="F107" s="8">
        <v>3</v>
      </c>
      <c r="G107" s="6">
        <f t="shared" si="8"/>
        <v>395.30063999999993</v>
      </c>
    </row>
    <row r="108" spans="1:12" s="6" customFormat="1" x14ac:dyDescent="0.3">
      <c r="A108" s="5"/>
      <c r="E108" s="6">
        <f t="shared" si="7"/>
        <v>5.5342089599999991</v>
      </c>
      <c r="F108" s="8">
        <v>4</v>
      </c>
      <c r="G108" s="6">
        <f t="shared" si="8"/>
        <v>387.39462719999995</v>
      </c>
    </row>
    <row r="109" spans="1:12" s="6" customFormat="1" x14ac:dyDescent="0.3">
      <c r="A109" s="5"/>
      <c r="E109" s="6">
        <f t="shared" si="7"/>
        <v>5.4235247807999993</v>
      </c>
      <c r="F109" s="8">
        <v>5</v>
      </c>
      <c r="G109" s="6">
        <f>$C$104*E109+C105*E109</f>
        <v>5803.1715154559997</v>
      </c>
    </row>
    <row r="110" spans="1:12" s="6" customFormat="1" x14ac:dyDescent="0.3">
      <c r="A110" s="5"/>
      <c r="F110" s="9" t="s">
        <v>61</v>
      </c>
      <c r="G110" s="11">
        <f>IRR(G104:G109)</f>
        <v>4.8600000000019294E-2</v>
      </c>
      <c r="H110" s="9" t="s">
        <v>17</v>
      </c>
    </row>
    <row r="111" spans="1:12" x14ac:dyDescent="0.3">
      <c r="A111" s="3"/>
    </row>
    <row r="112" spans="1:12" s="4" customFormat="1" ht="64.8" customHeight="1" x14ac:dyDescent="0.3">
      <c r="A112" s="15" t="s">
        <v>70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 s="6" customFormat="1" x14ac:dyDescent="0.3">
      <c r="A113" s="5"/>
    </row>
    <row r="114" spans="1:11" s="6" customFormat="1" x14ac:dyDescent="0.3">
      <c r="A114" s="5"/>
      <c r="B114" s="6" t="s">
        <v>29</v>
      </c>
      <c r="C114" s="6">
        <v>4</v>
      </c>
      <c r="D114" s="6" t="s">
        <v>30</v>
      </c>
      <c r="E114" s="6" t="s">
        <v>7</v>
      </c>
      <c r="F114" s="6" t="s">
        <v>5</v>
      </c>
      <c r="G114" s="6" t="s">
        <v>60</v>
      </c>
    </row>
    <row r="115" spans="1:11" s="6" customFormat="1" x14ac:dyDescent="0.3">
      <c r="A115" s="5"/>
      <c r="B115" s="6" t="s">
        <v>69</v>
      </c>
      <c r="C115" s="6">
        <v>15000</v>
      </c>
      <c r="D115" s="6" t="s">
        <v>9</v>
      </c>
      <c r="E115" s="6">
        <f>C117</f>
        <v>5</v>
      </c>
      <c r="F115" s="8">
        <v>0</v>
      </c>
      <c r="G115" s="6">
        <f>-C116</f>
        <v>-50000</v>
      </c>
    </row>
    <row r="116" spans="1:11" s="6" customFormat="1" x14ac:dyDescent="0.3">
      <c r="A116" s="5"/>
      <c r="B116" s="6" t="s">
        <v>18</v>
      </c>
      <c r="C116" s="6">
        <v>50000</v>
      </c>
      <c r="D116" s="6" t="s">
        <v>10</v>
      </c>
      <c r="E116" s="6">
        <f>E115*(1+$C$118)</f>
        <v>5.15</v>
      </c>
      <c r="F116" s="8">
        <v>1</v>
      </c>
      <c r="G116" s="6">
        <f>$C$115/E116</f>
        <v>2912.6213592233007</v>
      </c>
    </row>
    <row r="117" spans="1:11" s="6" customFormat="1" x14ac:dyDescent="0.3">
      <c r="A117" s="5"/>
      <c r="B117" s="6" t="s">
        <v>7</v>
      </c>
      <c r="C117" s="6">
        <v>5</v>
      </c>
      <c r="D117" s="6" t="s">
        <v>19</v>
      </c>
      <c r="E117" s="6">
        <f t="shared" ref="E117:E119" si="9">E116*(1+$C$118)</f>
        <v>5.3045000000000009</v>
      </c>
      <c r="F117" s="8">
        <v>2</v>
      </c>
      <c r="G117" s="6">
        <f t="shared" ref="G117:G119" si="10">$C$115/E117</f>
        <v>2827.7877274012626</v>
      </c>
    </row>
    <row r="118" spans="1:11" s="6" customFormat="1" x14ac:dyDescent="0.3">
      <c r="A118" s="5"/>
      <c r="B118" s="6" t="s">
        <v>15</v>
      </c>
      <c r="C118" s="7">
        <v>0.03</v>
      </c>
      <c r="D118" s="6" t="s">
        <v>17</v>
      </c>
      <c r="E118" s="6">
        <f t="shared" si="9"/>
        <v>5.4636350000000009</v>
      </c>
      <c r="F118" s="8">
        <v>3</v>
      </c>
      <c r="G118" s="6">
        <f t="shared" si="10"/>
        <v>2745.4249780594782</v>
      </c>
    </row>
    <row r="119" spans="1:11" s="6" customFormat="1" x14ac:dyDescent="0.3">
      <c r="A119" s="5"/>
      <c r="E119" s="6">
        <f t="shared" si="9"/>
        <v>5.6275440500000009</v>
      </c>
      <c r="F119" s="8">
        <v>4</v>
      </c>
      <c r="G119" s="6">
        <f t="shared" si="10"/>
        <v>2665.4611437470662</v>
      </c>
    </row>
    <row r="120" spans="1:11" s="6" customFormat="1" x14ac:dyDescent="0.3">
      <c r="A120" s="5"/>
      <c r="F120" s="14" t="s">
        <v>61</v>
      </c>
      <c r="G120" s="11">
        <f>IRR(G115:G119)</f>
        <v>-0.41608474741751178</v>
      </c>
      <c r="H120" s="9" t="s">
        <v>71</v>
      </c>
      <c r="I120" s="9"/>
    </row>
    <row r="121" spans="1:11" s="6" customFormat="1" x14ac:dyDescent="0.3">
      <c r="A121" s="5"/>
    </row>
    <row r="122" spans="1:11" x14ac:dyDescent="0.3">
      <c r="A122" s="3"/>
    </row>
    <row r="123" spans="1:11" s="4" customFormat="1" ht="64.8" customHeight="1" x14ac:dyDescent="0.3">
      <c r="A123" s="15" t="s">
        <v>73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s="6" customFormat="1" x14ac:dyDescent="0.3">
      <c r="A124" s="5"/>
    </row>
    <row r="125" spans="1:11" s="6" customFormat="1" x14ac:dyDescent="0.3">
      <c r="A125" s="5"/>
      <c r="B125" s="6" t="s">
        <v>11</v>
      </c>
      <c r="C125" s="7">
        <v>0.12</v>
      </c>
      <c r="D125" s="6" t="s">
        <v>17</v>
      </c>
      <c r="E125" s="6" t="s">
        <v>47</v>
      </c>
      <c r="F125" s="6" t="s">
        <v>74</v>
      </c>
    </row>
    <row r="126" spans="1:11" s="6" customFormat="1" x14ac:dyDescent="0.3">
      <c r="A126" s="5"/>
      <c r="B126" s="6" t="s">
        <v>11</v>
      </c>
      <c r="C126" s="7">
        <v>0.04</v>
      </c>
      <c r="D126" s="6" t="s">
        <v>17</v>
      </c>
      <c r="E126" s="6" t="s">
        <v>39</v>
      </c>
      <c r="F126" s="6" t="s">
        <v>75</v>
      </c>
    </row>
    <row r="127" spans="1:11" s="6" customFormat="1" x14ac:dyDescent="0.3">
      <c r="A127" s="5"/>
      <c r="B127" s="6" t="s">
        <v>33</v>
      </c>
      <c r="C127" s="6">
        <v>1000000</v>
      </c>
      <c r="D127" s="6" t="s">
        <v>10</v>
      </c>
    </row>
    <row r="128" spans="1:11" s="6" customFormat="1" x14ac:dyDescent="0.3">
      <c r="A128" s="5"/>
      <c r="B128" s="6" t="s">
        <v>7</v>
      </c>
      <c r="C128" s="6">
        <v>5.0999999999999996</v>
      </c>
      <c r="D128" s="6" t="s">
        <v>19</v>
      </c>
      <c r="E128" s="6" t="s">
        <v>36</v>
      </c>
    </row>
    <row r="129" spans="1:10" s="6" customFormat="1" x14ac:dyDescent="0.3">
      <c r="A129" s="5"/>
      <c r="B129" s="6" t="s">
        <v>7</v>
      </c>
      <c r="C129" s="6">
        <v>4.8</v>
      </c>
      <c r="D129" s="6" t="s">
        <v>19</v>
      </c>
      <c r="E129" s="6" t="s">
        <v>72</v>
      </c>
    </row>
    <row r="130" spans="1:10" s="6" customFormat="1" x14ac:dyDescent="0.3">
      <c r="A130" s="5"/>
    </row>
    <row r="131" spans="1:10" s="6" customFormat="1" x14ac:dyDescent="0.3">
      <c r="A131" s="5"/>
      <c r="B131" s="6" t="s">
        <v>76</v>
      </c>
      <c r="F131" s="6">
        <f>FV(C125,1/2,,-C127*C128)</f>
        <v>5397332.6745717656</v>
      </c>
      <c r="G131" s="6" t="s">
        <v>78</v>
      </c>
      <c r="I131" s="6">
        <f>F131/C129</f>
        <v>1124444.3072024512</v>
      </c>
    </row>
    <row r="132" spans="1:10" s="6" customFormat="1" x14ac:dyDescent="0.3">
      <c r="A132" s="5"/>
      <c r="B132" s="6" t="s">
        <v>77</v>
      </c>
      <c r="F132" s="6">
        <f>FV(C126,1/2,,-C127)</f>
        <v>1019803.902718557</v>
      </c>
      <c r="G132" s="6" t="s">
        <v>10</v>
      </c>
      <c r="H132" s="9" t="s">
        <v>79</v>
      </c>
      <c r="I132" s="9">
        <f>I131-F132</f>
        <v>104640.40448389412</v>
      </c>
      <c r="J132" s="9" t="s">
        <v>10</v>
      </c>
    </row>
    <row r="133" spans="1:10" x14ac:dyDescent="0.3">
      <c r="A133" s="3"/>
    </row>
  </sheetData>
  <mergeCells count="12">
    <mergeCell ref="A57:K57"/>
    <mergeCell ref="A2:K2"/>
    <mergeCell ref="A13:K13"/>
    <mergeCell ref="A24:K24"/>
    <mergeCell ref="A35:K35"/>
    <mergeCell ref="A46:K46"/>
    <mergeCell ref="A123:K123"/>
    <mergeCell ref="A68:K68"/>
    <mergeCell ref="A79:K79"/>
    <mergeCell ref="A90:K90"/>
    <mergeCell ref="A101:K101"/>
    <mergeCell ref="A112:K1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Rochman</dc:creator>
  <cp:lastModifiedBy>Ricardo Rochman</cp:lastModifiedBy>
  <dcterms:created xsi:type="dcterms:W3CDTF">2024-10-30T15:13:44Z</dcterms:created>
  <dcterms:modified xsi:type="dcterms:W3CDTF">2024-10-30T17:42:52Z</dcterms:modified>
</cp:coreProperties>
</file>