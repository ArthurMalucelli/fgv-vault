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c2df6b188230dfca/FGV/PF/"/>
    </mc:Choice>
  </mc:AlternateContent>
  <xr:revisionPtr revIDLastSave="199" documentId="8_{E7E2EEC9-1A7B-4F15-8CDB-0702FBC03359}" xr6:coauthVersionLast="47" xr6:coauthVersionMax="47" xr10:uidLastSave="{F3E10DB9-75CE-4807-8A42-BDD539F51616}"/>
  <bookViews>
    <workbookView xWindow="-110" yWindow="-110" windowWidth="19420" windowHeight="10300" xr2:uid="{153471F3-087D-429E-84C9-B0263D2E0A23}"/>
  </bookViews>
  <sheets>
    <sheet name="QUIZ" sheetId="1" r:id="rId1"/>
    <sheet name="FeriadosHoliday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6" i="1" l="1"/>
  <c r="L75" i="1"/>
  <c r="L74" i="1"/>
  <c r="J67" i="1"/>
  <c r="G58" i="1"/>
  <c r="G49" i="1"/>
  <c r="I36" i="1"/>
  <c r="J40" i="1"/>
  <c r="J39" i="1"/>
  <c r="K29" i="1"/>
  <c r="O30" i="1"/>
  <c r="N30" i="1"/>
  <c r="O26" i="1"/>
  <c r="O27" i="1"/>
  <c r="O28" i="1"/>
  <c r="O29" i="1"/>
  <c r="O25" i="1"/>
  <c r="N26" i="1"/>
  <c r="N27" i="1"/>
  <c r="N28" i="1"/>
  <c r="N29" i="1"/>
  <c r="N25" i="1"/>
  <c r="K28" i="1"/>
  <c r="G17" i="1"/>
  <c r="G9" i="1" l="1"/>
  <c r="I75" i="1"/>
  <c r="I77" i="1" s="1"/>
  <c r="H75" i="1"/>
  <c r="H77" i="1" s="1"/>
  <c r="G75" i="1"/>
  <c r="G77" i="1" s="1"/>
  <c r="D75" i="1"/>
  <c r="D77" i="1" s="1"/>
  <c r="C41" i="1"/>
  <c r="C66" i="1"/>
  <c r="F65" i="1"/>
  <c r="F66" i="1" s="1"/>
  <c r="C59" i="1"/>
  <c r="C50" i="1"/>
  <c r="F39" i="1"/>
  <c r="F37" i="1"/>
  <c r="G28" i="1"/>
  <c r="H28" i="1" s="1"/>
  <c r="G27" i="1"/>
  <c r="H27" i="1" s="1"/>
  <c r="C27" i="1"/>
  <c r="G30" i="1" s="1"/>
  <c r="G26" i="1"/>
  <c r="H26" i="1" s="1"/>
  <c r="F26" i="1"/>
  <c r="F27" i="1" s="1"/>
  <c r="F28" i="1" s="1"/>
  <c r="F29" i="1" s="1"/>
  <c r="F30" i="1" s="1"/>
  <c r="H30" i="1" l="1"/>
  <c r="G29" i="1"/>
  <c r="H29" i="1" s="1"/>
  <c r="G25" i="1"/>
  <c r="H25" i="1" s="1"/>
  <c r="C30" i="1" s="1"/>
  <c r="C19" i="1" l="1"/>
  <c r="C9" i="1"/>
</calcChain>
</file>

<file path=xl/sharedStrings.xml><?xml version="1.0" encoding="utf-8"?>
<sst xmlns="http://schemas.openxmlformats.org/spreadsheetml/2006/main" count="135" uniqueCount="80">
  <si>
    <t>$</t>
  </si>
  <si>
    <t>VP</t>
  </si>
  <si>
    <t>R$</t>
  </si>
  <si>
    <t>Preço</t>
  </si>
  <si>
    <t>Valor face</t>
  </si>
  <si>
    <t>a.s.</t>
  </si>
  <si>
    <t>Taxa cupom</t>
  </si>
  <si>
    <t>a.a</t>
  </si>
  <si>
    <t>Fluxo caixa</t>
  </si>
  <si>
    <t>Dias úteis</t>
  </si>
  <si>
    <t>YTM</t>
  </si>
  <si>
    <t>dias úteis</t>
  </si>
  <si>
    <t>n</t>
  </si>
  <si>
    <t>a.a.</t>
  </si>
  <si>
    <t>i</t>
  </si>
  <si>
    <t>Remuneração</t>
  </si>
  <si>
    <t>da taxa DI</t>
  </si>
  <si>
    <t>n1</t>
  </si>
  <si>
    <t>d.u.</t>
  </si>
  <si>
    <t>Taxa DI (1)</t>
  </si>
  <si>
    <t>ao ano</t>
  </si>
  <si>
    <t>----&gt;</t>
  </si>
  <si>
    <t>ao dia</t>
  </si>
  <si>
    <t>n2</t>
  </si>
  <si>
    <t>Taxa DI (2)</t>
  </si>
  <si>
    <t>Taxa de retorno</t>
  </si>
  <si>
    <t>no período</t>
  </si>
  <si>
    <t>Investimento</t>
  </si>
  <si>
    <t>Taxa SELIC over</t>
  </si>
  <si>
    <t>Saldo</t>
  </si>
  <si>
    <t>Dívida</t>
  </si>
  <si>
    <t>meses</t>
  </si>
  <si>
    <t>Taxa DI</t>
  </si>
  <si>
    <t>Taxa do CDI ou DI usa 252 dias úteis</t>
  </si>
  <si>
    <t>dias úteis em um ano</t>
  </si>
  <si>
    <t>Taxa CDI</t>
  </si>
  <si>
    <t>dias úteis em um mês</t>
  </si>
  <si>
    <t>Taxa equivalente</t>
  </si>
  <si>
    <t>ao mês</t>
  </si>
  <si>
    <t>ou</t>
  </si>
  <si>
    <t>Retorno</t>
  </si>
  <si>
    <t>Qual é o preço que uma pessoa deveria pagar por um título Tesouro Prefixado, conhecido como LTN - Letra do Tesouro Nacional, que está disponível na página internet do TESOURODIRETO, e negociado com rendimento anualizado até o vencimento de 15,28 % e vencimento em 314 dias úteis?</t>
  </si>
  <si>
    <t>No app de uma assessoria de investimentos há uma LTN (Letra do Tesouro Nacional) , com vencimento em 217 dias úteis, que é oferecida por R$ 829,93 . Qual é o retorno anualizado até o vencimento que uma investidora obteria se adquirisse esta LTN?</t>
  </si>
  <si>
    <t>Uma organização humanitária recebeu uma doação, e investiu R$ 148.671,20 do valor recebido em um título do governo brasileiro que remunera a taxa SELIC. Passados 148 dias úteis, a partir do investimento feito inicialmente, a organização verificou quanto tinha de saldo nesse investimento. Considerando que durante todo período a taxa SELIC over (ou de mercado) foi 23,30 % ao ano, calcule o valor do saldo do investimento no final dos 148 dias úteis.</t>
  </si>
  <si>
    <t>Shondra investiu no CDB do banco que remunera 260 % da taxa DI. Depois do investimento no CDB, a taxa DI nos primeiros 40 dias úteis foi de 19,96 % ao ano, e nos próximos 25 dias úteis a taxa DI foi de 21,15 % ao ano. Ao final desse segundo período, Shondra resgatou o CDB. Qual foi a taxa bruta de retorno que Shondra terá no período total de aplicação no CDB?</t>
  </si>
  <si>
    <t>Xavier deve pagar R$ 71.789,06 , daqui 9 meses, que é a primeira parcela do seu iate recém adquirido. Quanto em Reais Xavier precisa investir hoje em uma aplicação que remunera 100% da taxa DI para honrar a parcela? Considere que a taxa DI no período foi sempre igual a 22,46 % ao ano. Também considere que todos meses tem o mesmo número de dias úteis.</t>
  </si>
  <si>
    <t>Cada dia ao final do dia, os bancos investem seu excedente de caixa para não perder os juros de um dia para outro. Um banco teve sobra de caixa em uma data, e decidiu aplicar $ 8.667.941,26 em um DI por um dia à taxa de 18,02 % ao ano. Qual é a taxa equivalente ao mês dessa aplicação? Considere que todos meses tem o mesmo número de dias úteis.</t>
  </si>
  <si>
    <t>Data início</t>
  </si>
  <si>
    <t>Data final</t>
  </si>
  <si>
    <t>Taxa</t>
  </si>
  <si>
    <t>No dia 05/Agosto/2024, uma pessoa decidiu comprar LTNs (Tesouro Prefixado) no sistema Tesouro Direto. Ela viu que a taxa atual era de 12,56% ao ano para título que vencerá em 01/Janeiro/2029. Com essas informações, quanto ela deverá pagar por cada LTN?</t>
  </si>
  <si>
    <t>Martha, que trabalha em uma consultoria macroeconômica, prevê que os juros vão cair nas próximas reuniões do COPOM. Shirley viu a previsão e decidiu investir agora em Tesouro Pré-fixado com Juros Semestrais (NTN-F) com YTM de 14,30% ao ano e vencimento em 710 dias úteis. Qual o preço dessa NTN-F? Considere que a NTN-F paga os cupons em 80, 206, 332, 458, 584 e 710 dias úteis.</t>
  </si>
  <si>
    <t>vencimento</t>
  </si>
  <si>
    <t>vf</t>
  </si>
  <si>
    <t>preço</t>
  </si>
  <si>
    <t>fórmula taxa de retorno</t>
  </si>
  <si>
    <t>TR = (VF/VP)^(ano/n)  -1</t>
  </si>
  <si>
    <t>TR = (VF-VP)/VP</t>
  </si>
  <si>
    <t>retorno</t>
  </si>
  <si>
    <t>data</t>
  </si>
  <si>
    <t>cupom</t>
  </si>
  <si>
    <t>face</t>
  </si>
  <si>
    <t>fórmula do preço de um título</t>
  </si>
  <si>
    <t>P = VN/(1+YTM)^n/ano</t>
  </si>
  <si>
    <t>taxa c ano</t>
  </si>
  <si>
    <t>taxa c sem</t>
  </si>
  <si>
    <t>vp</t>
  </si>
  <si>
    <t>taxa di</t>
  </si>
  <si>
    <t>taxa</t>
  </si>
  <si>
    <t>taxa ano</t>
  </si>
  <si>
    <t>taxa dia</t>
  </si>
  <si>
    <t>tr</t>
  </si>
  <si>
    <t>investimento</t>
  </si>
  <si>
    <t>selic</t>
  </si>
  <si>
    <t>aplicação</t>
  </si>
  <si>
    <t>taxa  mês</t>
  </si>
  <si>
    <t>taxa atual</t>
  </si>
  <si>
    <t>hoje</t>
  </si>
  <si>
    <t>vecimento</t>
  </si>
  <si>
    <t>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</si>
</sst>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43" formatCode="_-* #,##0.00_-;\-* #,##0.00_-;_-* &quot;-&quot;??_-;_-@_-"/>
    <numFmt numFmtId="164" formatCode="0.0000%"/>
  </numFmts>
  <fonts count="3" x14ac:knownFonts="1">
    <font>
      <sz val="11"/>
      <color theme="1"/>
      <name val="Calibri"/>
      <family val="2"/>
      <scheme val="minor"/>
    </font>
    <font>
      <sz val="11"/>
      <color theme="1"/>
      <name val="Calibri"/>
      <family val="2"/>
      <scheme val="minor"/>
    </font>
    <font>
      <sz val="10"/>
      <name val="Arial"/>
      <family val="2"/>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5D3FF"/>
        <bgColor indexed="64"/>
      </patternFill>
    </fill>
  </fills>
  <borders count="1">
    <border>
      <left/>
      <right/>
      <top/>
      <bottom/>
      <diagonal/>
    </border>
  </borders>
  <cellStyleXfs count="5">
    <xf numFmtId="0" fontId="0" fillId="0" borderId="0"/>
    <xf numFmtId="9" fontId="1" fillId="0" borderId="0" applyFont="0" applyFill="0" applyBorder="0" applyAlignment="0" applyProtection="0"/>
    <xf numFmtId="0" fontId="1" fillId="0" borderId="0"/>
    <xf numFmtId="0" fontId="2" fillId="0" borderId="0"/>
    <xf numFmtId="43" fontId="1" fillId="0" borderId="0" applyFont="0" applyFill="0" applyBorder="0" applyAlignment="0" applyProtection="0"/>
  </cellStyleXfs>
  <cellXfs count="27">
    <xf numFmtId="0" fontId="0" fillId="0" borderId="0" xfId="0"/>
    <xf numFmtId="0" fontId="0" fillId="0" borderId="0" xfId="0" applyAlignment="1">
      <alignment vertical="center"/>
    </xf>
    <xf numFmtId="0" fontId="0" fillId="2" borderId="0" xfId="0" applyFill="1"/>
    <xf numFmtId="10" fontId="0" fillId="0" borderId="0" xfId="1" applyNumberFormat="1" applyFont="1"/>
    <xf numFmtId="4" fontId="0" fillId="0" borderId="0" xfId="0" applyNumberFormat="1"/>
    <xf numFmtId="4" fontId="0" fillId="2" borderId="0" xfId="0" applyNumberFormat="1" applyFill="1"/>
    <xf numFmtId="10" fontId="0" fillId="0" borderId="0" xfId="0" applyNumberFormat="1"/>
    <xf numFmtId="0" fontId="0" fillId="3" borderId="0" xfId="0" applyFill="1"/>
    <xf numFmtId="0" fontId="0" fillId="0" borderId="0" xfId="0" quotePrefix="1"/>
    <xf numFmtId="14" fontId="1" fillId="4" borderId="0" xfId="2" applyNumberFormat="1" applyFill="1" applyAlignment="1">
      <alignment horizontal="right"/>
    </xf>
    <xf numFmtId="0" fontId="2" fillId="0" borderId="0" xfId="3"/>
    <xf numFmtId="14" fontId="1" fillId="0" borderId="0" xfId="2" applyNumberFormat="1" applyAlignment="1">
      <alignment horizontal="right"/>
    </xf>
    <xf numFmtId="0" fontId="0" fillId="0" borderId="0" xfId="0" applyAlignment="1">
      <alignment horizontal="right"/>
    </xf>
    <xf numFmtId="8" fontId="0" fillId="0" borderId="0" xfId="0" applyNumberFormat="1"/>
    <xf numFmtId="9" fontId="0" fillId="0" borderId="0" xfId="0" applyNumberFormat="1"/>
    <xf numFmtId="10" fontId="0" fillId="0" borderId="0" xfId="1" applyNumberFormat="1" applyFont="1" applyFill="1"/>
    <xf numFmtId="0" fontId="0" fillId="3" borderId="0" xfId="0" applyFill="1" applyAlignment="1">
      <alignment horizontal="center" vertical="center" wrapText="1"/>
    </xf>
    <xf numFmtId="0" fontId="0" fillId="5" borderId="0" xfId="0" applyFill="1" applyAlignment="1">
      <alignment horizontal="center"/>
    </xf>
    <xf numFmtId="0" fontId="0" fillId="0" borderId="0" xfId="0" applyFill="1"/>
    <xf numFmtId="10" fontId="0" fillId="0" borderId="0" xfId="0" applyNumberFormat="1" applyFill="1"/>
    <xf numFmtId="4" fontId="0" fillId="0" borderId="0" xfId="0" applyNumberFormat="1" applyFill="1"/>
    <xf numFmtId="43" fontId="0" fillId="0" borderId="0" xfId="4" applyFont="1"/>
    <xf numFmtId="43" fontId="0" fillId="0" borderId="0" xfId="0" applyNumberFormat="1"/>
    <xf numFmtId="164" fontId="0" fillId="0" borderId="0" xfId="1" applyNumberFormat="1" applyFont="1" applyFill="1"/>
    <xf numFmtId="14" fontId="0" fillId="0" borderId="0" xfId="0" applyNumberFormat="1"/>
    <xf numFmtId="14" fontId="0" fillId="0" borderId="0" xfId="0" applyNumberFormat="1" applyFill="1"/>
    <xf numFmtId="3" fontId="0" fillId="0" borderId="0" xfId="0" applyNumberFormat="1" applyFill="1"/>
  </cellXfs>
  <cellStyles count="5">
    <cellStyle name="Normal" xfId="0" builtinId="0"/>
    <cellStyle name="Normal 2" xfId="3" xr:uid="{DA6983C2-CF5B-42FA-A273-E4C46DE6BF00}"/>
    <cellStyle name="Normal 3" xfId="2" xr:uid="{073A6474-5FA2-443A-B300-08889373898E}"/>
    <cellStyle name="Porcentagem" xfId="1" builtinId="5"/>
    <cellStyle name="Vírgula" xfId="4"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D732-4BE8-4478-A465-E0EF67D5702B}">
  <dimension ref="A1:T77"/>
  <sheetViews>
    <sheetView tabSelected="1" topLeftCell="A67" zoomScaleNormal="100" workbookViewId="0">
      <selection activeCell="J78" sqref="J78"/>
    </sheetView>
  </sheetViews>
  <sheetFormatPr defaultRowHeight="14.5" x14ac:dyDescent="0.35"/>
  <cols>
    <col min="2" max="2" width="13.81640625" customWidth="1"/>
    <col min="3" max="3" width="12" customWidth="1"/>
    <col min="4" max="4" width="10.453125" bestFit="1" customWidth="1"/>
    <col min="5" max="5" width="10.54296875" bestFit="1" customWidth="1"/>
    <col min="6" max="6" width="11.6328125" bestFit="1" customWidth="1"/>
    <col min="7" max="8" width="11.54296875" customWidth="1"/>
    <col min="9" max="9" width="13.81640625" customWidth="1"/>
    <col min="10" max="10" width="13.1796875" customWidth="1"/>
    <col min="11" max="11" width="10.54296875" bestFit="1" customWidth="1"/>
    <col min="12" max="12" width="11.08984375" bestFit="1" customWidth="1"/>
    <col min="14" max="14" width="9.08984375" bestFit="1" customWidth="1"/>
  </cols>
  <sheetData>
    <row r="1" spans="1:12" x14ac:dyDescent="0.35">
      <c r="A1" s="1"/>
    </row>
    <row r="3" spans="1:12" s="7" customFormat="1" ht="46.15" customHeight="1" x14ac:dyDescent="0.35">
      <c r="B3" s="16" t="s">
        <v>41</v>
      </c>
      <c r="C3" s="16"/>
      <c r="D3" s="16"/>
      <c r="E3" s="16"/>
      <c r="F3" s="16"/>
      <c r="G3" s="16"/>
      <c r="H3" s="16"/>
      <c r="I3" s="16"/>
      <c r="J3" s="16"/>
      <c r="K3" s="16"/>
      <c r="L3" s="16"/>
    </row>
    <row r="5" spans="1:12" x14ac:dyDescent="0.35">
      <c r="B5" t="s">
        <v>4</v>
      </c>
      <c r="C5" s="4">
        <v>1000</v>
      </c>
      <c r="D5" t="s">
        <v>2</v>
      </c>
      <c r="F5" t="s">
        <v>10</v>
      </c>
      <c r="G5" s="6">
        <v>0.15279999999999999</v>
      </c>
      <c r="I5" s="17" t="s">
        <v>55</v>
      </c>
      <c r="J5" s="17"/>
    </row>
    <row r="6" spans="1:12" x14ac:dyDescent="0.35">
      <c r="B6" t="s">
        <v>14</v>
      </c>
      <c r="C6" s="6">
        <v>0.15279999999999999</v>
      </c>
      <c r="D6" t="s">
        <v>13</v>
      </c>
      <c r="F6" t="s">
        <v>52</v>
      </c>
      <c r="G6">
        <v>314</v>
      </c>
      <c r="I6" s="17" t="s">
        <v>56</v>
      </c>
      <c r="J6" s="17"/>
    </row>
    <row r="7" spans="1:12" x14ac:dyDescent="0.35">
      <c r="B7" t="s">
        <v>12</v>
      </c>
      <c r="C7">
        <v>314</v>
      </c>
      <c r="D7" t="s">
        <v>11</v>
      </c>
      <c r="F7" t="s">
        <v>53</v>
      </c>
      <c r="G7">
        <v>1000</v>
      </c>
      <c r="I7" s="17" t="s">
        <v>57</v>
      </c>
      <c r="J7" s="17"/>
    </row>
    <row r="9" spans="1:12" x14ac:dyDescent="0.35">
      <c r="B9" s="2" t="s">
        <v>3</v>
      </c>
      <c r="C9" s="5">
        <f>C5/(1+C6)^(C7/252)</f>
        <v>837.63071809576763</v>
      </c>
      <c r="D9" s="2" t="s">
        <v>2</v>
      </c>
      <c r="F9" t="s">
        <v>54</v>
      </c>
      <c r="G9" s="13">
        <f>G7/(1+G5)^(G6/252)</f>
        <v>837.63071809576763</v>
      </c>
      <c r="I9" s="17" t="s">
        <v>62</v>
      </c>
      <c r="J9" s="17"/>
    </row>
    <row r="10" spans="1:12" x14ac:dyDescent="0.35">
      <c r="I10" s="17" t="s">
        <v>63</v>
      </c>
      <c r="J10" s="17"/>
    </row>
    <row r="12" spans="1:12" s="7" customFormat="1" ht="48.65" customHeight="1" x14ac:dyDescent="0.35">
      <c r="B12" s="16" t="s">
        <v>42</v>
      </c>
      <c r="C12" s="16"/>
      <c r="D12" s="16"/>
      <c r="E12" s="16"/>
      <c r="F12" s="16"/>
      <c r="G12" s="16"/>
      <c r="H12" s="16"/>
      <c r="I12" s="16"/>
      <c r="J12" s="16"/>
      <c r="K12" s="16"/>
      <c r="L12" s="16"/>
    </row>
    <row r="14" spans="1:12" x14ac:dyDescent="0.35">
      <c r="B14" t="s">
        <v>4</v>
      </c>
      <c r="C14" s="4">
        <v>1000</v>
      </c>
      <c r="D14" t="s">
        <v>2</v>
      </c>
      <c r="F14" t="s">
        <v>53</v>
      </c>
      <c r="G14">
        <v>1000</v>
      </c>
    </row>
    <row r="15" spans="1:12" x14ac:dyDescent="0.35">
      <c r="B15" t="s">
        <v>3</v>
      </c>
      <c r="C15" s="4">
        <v>829.93</v>
      </c>
      <c r="D15" t="s">
        <v>2</v>
      </c>
      <c r="F15" t="s">
        <v>52</v>
      </c>
      <c r="G15">
        <v>217</v>
      </c>
    </row>
    <row r="16" spans="1:12" x14ac:dyDescent="0.35">
      <c r="B16" t="s">
        <v>12</v>
      </c>
      <c r="C16">
        <v>217</v>
      </c>
      <c r="D16" t="s">
        <v>11</v>
      </c>
      <c r="F16" t="s">
        <v>54</v>
      </c>
      <c r="G16">
        <v>829.93</v>
      </c>
    </row>
    <row r="17" spans="2:15" x14ac:dyDescent="0.35">
      <c r="F17" t="s">
        <v>58</v>
      </c>
      <c r="G17" s="6">
        <f>(G14/G16)^(252/G15)-1</f>
        <v>0.24169909579635318</v>
      </c>
    </row>
    <row r="19" spans="2:15" x14ac:dyDescent="0.35">
      <c r="B19" t="s">
        <v>40</v>
      </c>
      <c r="C19" s="15">
        <f>(C14/C15)^(252/C16)-1</f>
        <v>0.24169909579635318</v>
      </c>
      <c r="D19" s="2" t="s">
        <v>20</v>
      </c>
    </row>
    <row r="22" spans="2:15" s="7" customFormat="1" ht="59.5" customHeight="1" x14ac:dyDescent="0.35">
      <c r="B22" s="16" t="s">
        <v>51</v>
      </c>
      <c r="C22" s="16"/>
      <c r="D22" s="16"/>
      <c r="E22" s="16"/>
      <c r="F22" s="16"/>
      <c r="G22" s="16"/>
      <c r="H22" s="16"/>
      <c r="I22" s="16"/>
      <c r="J22" s="16"/>
      <c r="K22" s="16"/>
      <c r="L22" s="16"/>
    </row>
    <row r="24" spans="2:15" x14ac:dyDescent="0.35">
      <c r="B24" s="18" t="s">
        <v>10</v>
      </c>
      <c r="C24" s="19">
        <v>0.14299999999999999</v>
      </c>
      <c r="D24" t="s">
        <v>7</v>
      </c>
      <c r="F24" s="18" t="s">
        <v>9</v>
      </c>
      <c r="G24" s="18" t="s">
        <v>8</v>
      </c>
      <c r="H24" s="18" t="s">
        <v>1</v>
      </c>
      <c r="J24" s="18" t="s">
        <v>10</v>
      </c>
      <c r="K24" s="6">
        <v>0.14299999999999999</v>
      </c>
      <c r="M24" t="s">
        <v>59</v>
      </c>
      <c r="N24" t="s">
        <v>60</v>
      </c>
      <c r="O24" t="s">
        <v>66</v>
      </c>
    </row>
    <row r="25" spans="2:15" x14ac:dyDescent="0.35">
      <c r="B25" s="18"/>
      <c r="C25" s="18"/>
      <c r="F25" s="18">
        <v>80</v>
      </c>
      <c r="G25" s="20">
        <f>C27*C28</f>
        <v>48.808848170151634</v>
      </c>
      <c r="H25" s="20">
        <f>G25/(1+C24)^(F25/252)</f>
        <v>46.781181297692513</v>
      </c>
      <c r="I25" s="4"/>
      <c r="J25" s="4" t="s">
        <v>12</v>
      </c>
      <c r="K25">
        <v>710</v>
      </c>
      <c r="M25">
        <v>80</v>
      </c>
      <c r="N25" s="21">
        <f>$K$28*$K$26</f>
        <v>48.808848170151634</v>
      </c>
      <c r="O25" s="22">
        <f>N25/(1+$K$24)^(M25/252)</f>
        <v>46.781181297692513</v>
      </c>
    </row>
    <row r="26" spans="2:15" x14ac:dyDescent="0.35">
      <c r="B26" s="18" t="s">
        <v>6</v>
      </c>
      <c r="C26" s="19">
        <v>0.1</v>
      </c>
      <c r="D26" t="s">
        <v>7</v>
      </c>
      <c r="F26" s="18">
        <f>+F25+126</f>
        <v>206</v>
      </c>
      <c r="G26" s="20">
        <f>C27*C28</f>
        <v>48.808848170151634</v>
      </c>
      <c r="H26" s="20">
        <f>G26/(1+C24)^(F26/252)</f>
        <v>43.757053410750018</v>
      </c>
      <c r="I26" s="4"/>
      <c r="J26" s="4" t="s">
        <v>61</v>
      </c>
      <c r="K26">
        <v>1000</v>
      </c>
      <c r="M26">
        <v>206</v>
      </c>
      <c r="N26" s="21">
        <f t="shared" ref="N26:N30" si="0">$K$28*$K$26</f>
        <v>48.808848170151634</v>
      </c>
      <c r="O26" s="22">
        <f t="shared" ref="O26:O30" si="1">N26/(1+$K$24)^(M26/252)</f>
        <v>43.757053410750018</v>
      </c>
    </row>
    <row r="27" spans="2:15" x14ac:dyDescent="0.35">
      <c r="B27" s="18" t="s">
        <v>6</v>
      </c>
      <c r="C27" s="19">
        <f>(1+C26)^(1/2)-1</f>
        <v>4.8808848170151631E-2</v>
      </c>
      <c r="D27" t="s">
        <v>5</v>
      </c>
      <c r="F27" s="18">
        <f t="shared" ref="F27:F30" si="2">+F26+126</f>
        <v>332</v>
      </c>
      <c r="G27" s="20">
        <f>C27*C28</f>
        <v>48.808848170151634</v>
      </c>
      <c r="H27" s="20">
        <f>G27/(1+C24)^(F27/252)</f>
        <v>40.928417583283043</v>
      </c>
      <c r="I27" s="4"/>
      <c r="J27" t="s">
        <v>64</v>
      </c>
      <c r="K27" s="6">
        <v>0.1</v>
      </c>
      <c r="M27">
        <v>332</v>
      </c>
      <c r="N27" s="21">
        <f t="shared" si="0"/>
        <v>48.808848170151634</v>
      </c>
      <c r="O27" s="22">
        <f t="shared" si="1"/>
        <v>40.928417583283043</v>
      </c>
    </row>
    <row r="28" spans="2:15" x14ac:dyDescent="0.35">
      <c r="B28" s="18" t="s">
        <v>4</v>
      </c>
      <c r="C28" s="20">
        <v>1000</v>
      </c>
      <c r="D28" t="s">
        <v>0</v>
      </c>
      <c r="F28" s="18">
        <f t="shared" si="2"/>
        <v>458</v>
      </c>
      <c r="G28" s="20">
        <f>C27*C28</f>
        <v>48.808848170151634</v>
      </c>
      <c r="H28" s="20">
        <f>G28/(1+C24)^(F28/252)</f>
        <v>38.282636404855666</v>
      </c>
      <c r="I28" s="4"/>
      <c r="J28" t="s">
        <v>65</v>
      </c>
      <c r="K28" s="3">
        <f>(1+K27)^(1/2)-1</f>
        <v>4.8808848170151631E-2</v>
      </c>
      <c r="M28">
        <v>458</v>
      </c>
      <c r="N28" s="21">
        <f t="shared" si="0"/>
        <v>48.808848170151634</v>
      </c>
      <c r="O28" s="22">
        <f t="shared" si="1"/>
        <v>38.282636404855666</v>
      </c>
    </row>
    <row r="29" spans="2:15" x14ac:dyDescent="0.35">
      <c r="B29" s="18"/>
      <c r="C29" s="18"/>
      <c r="F29" s="18">
        <f t="shared" si="2"/>
        <v>584</v>
      </c>
      <c r="G29" s="20">
        <f>C27*C28</f>
        <v>48.808848170151634</v>
      </c>
      <c r="H29" s="20">
        <f>G29/(1+C24)^(F29/252)</f>
        <v>35.807889399197762</v>
      </c>
      <c r="I29" s="4"/>
      <c r="J29" s="4" t="s">
        <v>54</v>
      </c>
      <c r="K29" s="22">
        <f>SUM(O25:O30)</f>
        <v>925.26030878724407</v>
      </c>
      <c r="M29">
        <v>584</v>
      </c>
      <c r="N29" s="21">
        <f t="shared" si="0"/>
        <v>48.808848170151634</v>
      </c>
      <c r="O29" s="22">
        <f t="shared" si="1"/>
        <v>35.807889399197762</v>
      </c>
    </row>
    <row r="30" spans="2:15" x14ac:dyDescent="0.35">
      <c r="B30" s="18" t="s">
        <v>3</v>
      </c>
      <c r="C30" s="20">
        <f>SUM(H25:H30)</f>
        <v>925.26030878724407</v>
      </c>
      <c r="D30" s="2" t="s">
        <v>2</v>
      </c>
      <c r="F30" s="18">
        <f t="shared" si="2"/>
        <v>710</v>
      </c>
      <c r="G30" s="20">
        <f>C27*C28+C28</f>
        <v>1048.8088481701516</v>
      </c>
      <c r="H30" s="20">
        <f>G30/(1+C24)^(F30/252)</f>
        <v>719.70313069146505</v>
      </c>
      <c r="I30" s="4"/>
      <c r="M30">
        <v>710</v>
      </c>
      <c r="N30" s="21">
        <f>$K$28*$K$26+K26</f>
        <v>1048.8088481701516</v>
      </c>
      <c r="O30" s="22">
        <f>N30/(1+$K$24)^(M30/252)</f>
        <v>719.70313069146505</v>
      </c>
    </row>
    <row r="31" spans="2:15" x14ac:dyDescent="0.35">
      <c r="G31" s="4"/>
      <c r="H31" s="4"/>
      <c r="I31" s="4"/>
    </row>
    <row r="33" spans="2:12" s="7" customFormat="1" ht="60" customHeight="1" x14ac:dyDescent="0.35">
      <c r="B33" s="16" t="s">
        <v>44</v>
      </c>
      <c r="C33" s="16"/>
      <c r="D33" s="16"/>
      <c r="E33" s="16"/>
      <c r="F33" s="16"/>
      <c r="G33" s="16"/>
      <c r="H33" s="16"/>
      <c r="I33" s="16"/>
      <c r="J33" s="16"/>
      <c r="K33" s="16"/>
      <c r="L33" s="16"/>
    </row>
    <row r="35" spans="2:12" x14ac:dyDescent="0.35">
      <c r="B35" s="18" t="s">
        <v>15</v>
      </c>
      <c r="C35" s="15">
        <v>2.6</v>
      </c>
      <c r="D35" t="s">
        <v>16</v>
      </c>
      <c r="H35" t="s">
        <v>67</v>
      </c>
      <c r="I35" s="14">
        <v>2.6</v>
      </c>
    </row>
    <row r="36" spans="2:12" x14ac:dyDescent="0.35">
      <c r="B36" s="18" t="s">
        <v>17</v>
      </c>
      <c r="C36" s="18">
        <v>40</v>
      </c>
      <c r="D36" t="s">
        <v>18</v>
      </c>
      <c r="H36" t="s">
        <v>71</v>
      </c>
      <c r="I36" s="6">
        <f>(1+J39*I35)*(1+J40*I35)-1</f>
        <v>0.12997016255157612</v>
      </c>
    </row>
    <row r="37" spans="2:12" x14ac:dyDescent="0.35">
      <c r="B37" s="18" t="s">
        <v>19</v>
      </c>
      <c r="C37" s="15">
        <v>0.1996</v>
      </c>
      <c r="D37" t="s">
        <v>20</v>
      </c>
      <c r="E37" s="8" t="s">
        <v>21</v>
      </c>
      <c r="F37" s="23">
        <f>(1+C37)^(1/252)-1</f>
        <v>7.2243610076028197E-4</v>
      </c>
      <c r="G37" t="s">
        <v>22</v>
      </c>
    </row>
    <row r="38" spans="2:12" x14ac:dyDescent="0.35">
      <c r="B38" s="18" t="s">
        <v>23</v>
      </c>
      <c r="C38" s="18">
        <v>25</v>
      </c>
      <c r="D38" t="s">
        <v>18</v>
      </c>
      <c r="F38" s="18"/>
      <c r="H38" t="s">
        <v>12</v>
      </c>
      <c r="I38" t="s">
        <v>69</v>
      </c>
      <c r="J38" t="s">
        <v>70</v>
      </c>
    </row>
    <row r="39" spans="2:12" x14ac:dyDescent="0.35">
      <c r="B39" s="18" t="s">
        <v>24</v>
      </c>
      <c r="C39" s="15">
        <v>0.21149999999999999</v>
      </c>
      <c r="D39" t="s">
        <v>20</v>
      </c>
      <c r="E39" s="8" t="s">
        <v>21</v>
      </c>
      <c r="F39" s="23">
        <f>(1+C39)^(1/252)-1</f>
        <v>7.6163617253999227E-4</v>
      </c>
      <c r="G39" t="s">
        <v>22</v>
      </c>
      <c r="H39">
        <v>40</v>
      </c>
      <c r="I39" s="6">
        <v>0.1996</v>
      </c>
      <c r="J39" s="3">
        <f>(1+I39)^(H39/252)-1</f>
        <v>2.9308287160534796E-2</v>
      </c>
    </row>
    <row r="40" spans="2:12" x14ac:dyDescent="0.35">
      <c r="B40" s="18"/>
      <c r="C40" s="18"/>
      <c r="H40">
        <v>25</v>
      </c>
      <c r="I40" s="6">
        <v>0.21149999999999999</v>
      </c>
      <c r="J40" s="3">
        <f>(1+I40)^(H40/252)-1</f>
        <v>1.9215951661437192E-2</v>
      </c>
    </row>
    <row r="41" spans="2:12" x14ac:dyDescent="0.35">
      <c r="B41" s="18" t="s">
        <v>25</v>
      </c>
      <c r="C41" s="15">
        <f>((1+F37*C35)^C36)*((1+F39*C35)^C38)-1</f>
        <v>0.13260498742639126</v>
      </c>
      <c r="D41" s="2" t="s">
        <v>26</v>
      </c>
    </row>
    <row r="44" spans="2:12" s="7" customFormat="1" ht="58.9" customHeight="1" x14ac:dyDescent="0.35">
      <c r="B44" s="16" t="s">
        <v>43</v>
      </c>
      <c r="C44" s="16"/>
      <c r="D44" s="16"/>
      <c r="E44" s="16"/>
      <c r="F44" s="16"/>
      <c r="G44" s="16"/>
      <c r="H44" s="16"/>
      <c r="I44" s="16"/>
      <c r="J44" s="16"/>
      <c r="K44" s="16"/>
      <c r="L44" s="16"/>
    </row>
    <row r="46" spans="2:12" x14ac:dyDescent="0.35">
      <c r="B46" s="18" t="s">
        <v>27</v>
      </c>
      <c r="C46" s="20">
        <v>148671.20000000001</v>
      </c>
      <c r="D46" t="s">
        <v>2</v>
      </c>
      <c r="F46" t="s">
        <v>72</v>
      </c>
      <c r="G46" s="4">
        <v>148671.20000000001</v>
      </c>
    </row>
    <row r="47" spans="2:12" x14ac:dyDescent="0.35">
      <c r="B47" s="18" t="s">
        <v>12</v>
      </c>
      <c r="C47" s="18">
        <v>148</v>
      </c>
      <c r="D47" t="s">
        <v>18</v>
      </c>
      <c r="F47" t="s">
        <v>12</v>
      </c>
      <c r="G47">
        <v>148</v>
      </c>
    </row>
    <row r="48" spans="2:12" x14ac:dyDescent="0.35">
      <c r="B48" s="18" t="s">
        <v>28</v>
      </c>
      <c r="C48" s="15">
        <v>0.23300000000000001</v>
      </c>
      <c r="D48" t="s">
        <v>20</v>
      </c>
      <c r="F48" t="s">
        <v>73</v>
      </c>
      <c r="G48" s="6">
        <v>0.23300000000000001</v>
      </c>
    </row>
    <row r="49" spans="2:20" x14ac:dyDescent="0.35">
      <c r="B49" s="18"/>
      <c r="C49" s="18"/>
      <c r="F49" t="s">
        <v>53</v>
      </c>
      <c r="G49" s="21">
        <f>G46*(1+G48)^(G47/252)-1</f>
        <v>168130.70074319147</v>
      </c>
    </row>
    <row r="50" spans="2:20" x14ac:dyDescent="0.35">
      <c r="B50" s="18" t="s">
        <v>29</v>
      </c>
      <c r="C50" s="20">
        <f>C46*(1+C48)^(C47/252)</f>
        <v>168131.70074319147</v>
      </c>
      <c r="D50" s="2" t="s">
        <v>2</v>
      </c>
    </row>
    <row r="53" spans="2:20" s="7" customFormat="1" ht="57.65" customHeight="1" x14ac:dyDescent="0.35">
      <c r="B53" s="16" t="s">
        <v>45</v>
      </c>
      <c r="C53" s="16"/>
      <c r="D53" s="16"/>
      <c r="E53" s="16"/>
      <c r="F53" s="16"/>
      <c r="G53" s="16"/>
      <c r="H53" s="16"/>
      <c r="I53" s="16"/>
      <c r="J53" s="16"/>
      <c r="K53" s="16"/>
      <c r="L53" s="16"/>
    </row>
    <row r="55" spans="2:20" x14ac:dyDescent="0.35">
      <c r="B55" s="18" t="s">
        <v>30</v>
      </c>
      <c r="C55" s="20">
        <v>71789.06</v>
      </c>
      <c r="D55" t="s">
        <v>2</v>
      </c>
      <c r="F55" t="s">
        <v>53</v>
      </c>
      <c r="G55" s="4">
        <v>71789.06</v>
      </c>
    </row>
    <row r="56" spans="2:20" x14ac:dyDescent="0.35">
      <c r="B56" s="18" t="s">
        <v>12</v>
      </c>
      <c r="C56" s="18">
        <v>9</v>
      </c>
      <c r="D56" t="s">
        <v>31</v>
      </c>
      <c r="F56" t="s">
        <v>12</v>
      </c>
      <c r="G56">
        <v>9</v>
      </c>
    </row>
    <row r="57" spans="2:20" x14ac:dyDescent="0.35">
      <c r="B57" s="18" t="s">
        <v>32</v>
      </c>
      <c r="C57" s="15">
        <v>0.22459999999999999</v>
      </c>
      <c r="D57" t="s">
        <v>20</v>
      </c>
      <c r="F57" t="s">
        <v>67</v>
      </c>
      <c r="G57" s="3">
        <v>0.22459999999999999</v>
      </c>
      <c r="T57" s="4"/>
    </row>
    <row r="58" spans="2:20" x14ac:dyDescent="0.35">
      <c r="B58" s="18"/>
      <c r="C58" s="18"/>
      <c r="F58" t="s">
        <v>54</v>
      </c>
      <c r="G58" s="21">
        <f>G55/(1+G57)^(21*G56/252)</f>
        <v>61668.385050806806</v>
      </c>
    </row>
    <row r="59" spans="2:20" x14ac:dyDescent="0.35">
      <c r="B59" s="18" t="s">
        <v>29</v>
      </c>
      <c r="C59" s="20">
        <f>C55/(1+C57)^(C56/12)</f>
        <v>61668.385050806806</v>
      </c>
      <c r="D59" s="2" t="s">
        <v>2</v>
      </c>
    </row>
    <row r="60" spans="2:20" x14ac:dyDescent="0.35">
      <c r="C60" s="3"/>
    </row>
    <row r="62" spans="2:20" s="7" customFormat="1" ht="48" customHeight="1" x14ac:dyDescent="0.35">
      <c r="B62" s="16" t="s">
        <v>46</v>
      </c>
      <c r="C62" s="16"/>
      <c r="D62" s="16"/>
      <c r="E62" s="16"/>
      <c r="F62" s="16"/>
      <c r="G62" s="16"/>
      <c r="H62" s="16"/>
      <c r="I62" s="16"/>
      <c r="J62" s="16"/>
      <c r="K62" s="16"/>
      <c r="L62" s="16"/>
    </row>
    <row r="64" spans="2:20" x14ac:dyDescent="0.35">
      <c r="B64" s="18" t="s">
        <v>33</v>
      </c>
      <c r="C64" s="18"/>
      <c r="D64" s="18"/>
      <c r="E64" s="18"/>
      <c r="F64" s="18">
        <v>252</v>
      </c>
      <c r="G64" t="s">
        <v>34</v>
      </c>
      <c r="I64" t="s">
        <v>74</v>
      </c>
      <c r="J64" s="4">
        <v>8667941.2599999998</v>
      </c>
    </row>
    <row r="65" spans="2:12" x14ac:dyDescent="0.35">
      <c r="B65" s="18" t="s">
        <v>35</v>
      </c>
      <c r="C65" s="15">
        <v>0.1802</v>
      </c>
      <c r="D65" s="18" t="s">
        <v>20</v>
      </c>
      <c r="E65" s="18"/>
      <c r="F65" s="18">
        <f>F64/12</f>
        <v>21</v>
      </c>
      <c r="G65" t="s">
        <v>36</v>
      </c>
      <c r="I65" t="s">
        <v>12</v>
      </c>
      <c r="J65">
        <v>1</v>
      </c>
    </row>
    <row r="66" spans="2:12" x14ac:dyDescent="0.35">
      <c r="B66" s="18" t="s">
        <v>37</v>
      </c>
      <c r="C66" s="15">
        <f>(1+C65)^(1/12)-1</f>
        <v>1.3902749694121308E-2</v>
      </c>
      <c r="D66" s="18" t="s">
        <v>38</v>
      </c>
      <c r="E66" s="18" t="s">
        <v>39</v>
      </c>
      <c r="F66" s="15">
        <f>(1+C65)^(F65/252)-1</f>
        <v>1.3902749694121308E-2</v>
      </c>
      <c r="G66" s="2" t="s">
        <v>38</v>
      </c>
      <c r="I66" t="s">
        <v>68</v>
      </c>
      <c r="J66" s="6">
        <v>0.1802</v>
      </c>
    </row>
    <row r="67" spans="2:12" x14ac:dyDescent="0.35">
      <c r="I67" t="s">
        <v>75</v>
      </c>
      <c r="J67" s="3">
        <f>(1+J66)^(1/12)-1</f>
        <v>1.3902749694121308E-2</v>
      </c>
    </row>
    <row r="69" spans="2:12" s="7" customFormat="1" ht="59.5" customHeight="1" x14ac:dyDescent="0.35">
      <c r="B69" s="16" t="s">
        <v>50</v>
      </c>
      <c r="C69" s="16"/>
      <c r="D69" s="16"/>
      <c r="E69" s="16"/>
      <c r="F69" s="16"/>
      <c r="G69" s="16"/>
      <c r="H69" s="16"/>
      <c r="I69" s="16"/>
      <c r="J69" s="16"/>
      <c r="K69" s="16"/>
      <c r="L69" s="16"/>
    </row>
    <row r="71" spans="2:12" x14ac:dyDescent="0.35">
      <c r="C71" s="18" t="s">
        <v>47</v>
      </c>
      <c r="D71" s="25">
        <v>45509</v>
      </c>
      <c r="E71" s="18"/>
      <c r="F71" s="18" t="s">
        <v>47</v>
      </c>
      <c r="G71" s="25">
        <v>45552</v>
      </c>
      <c r="H71" s="25">
        <v>45586</v>
      </c>
      <c r="I71" s="25">
        <v>45504</v>
      </c>
      <c r="K71" t="s">
        <v>76</v>
      </c>
      <c r="L71" s="6">
        <v>0.12559999999999999</v>
      </c>
    </row>
    <row r="72" spans="2:12" x14ac:dyDescent="0.35">
      <c r="C72" s="18" t="s">
        <v>48</v>
      </c>
      <c r="D72" s="25">
        <v>47119</v>
      </c>
      <c r="E72" s="18"/>
      <c r="F72" s="18" t="s">
        <v>48</v>
      </c>
      <c r="G72" s="25">
        <v>46753</v>
      </c>
      <c r="H72" s="25">
        <v>46388</v>
      </c>
      <c r="I72" s="25">
        <v>46023</v>
      </c>
      <c r="K72" t="s">
        <v>77</v>
      </c>
      <c r="L72" s="24">
        <v>45509</v>
      </c>
    </row>
    <row r="73" spans="2:12" x14ac:dyDescent="0.35">
      <c r="C73" s="18" t="s">
        <v>49</v>
      </c>
      <c r="D73" s="19">
        <v>0.12559999999999999</v>
      </c>
      <c r="E73" s="18" t="s">
        <v>20</v>
      </c>
      <c r="F73" s="18" t="s">
        <v>49</v>
      </c>
      <c r="G73" s="19">
        <v>0.14149999999999999</v>
      </c>
      <c r="H73" s="19">
        <v>0.10829999999999999</v>
      </c>
      <c r="I73" s="19">
        <v>0.15210000000000001</v>
      </c>
      <c r="K73" t="s">
        <v>78</v>
      </c>
      <c r="L73" s="24">
        <v>47119</v>
      </c>
    </row>
    <row r="74" spans="2:12" x14ac:dyDescent="0.35">
      <c r="C74" s="18"/>
      <c r="D74" s="18"/>
      <c r="E74" s="18"/>
      <c r="F74" s="18"/>
      <c r="G74" s="18"/>
      <c r="H74" s="18"/>
      <c r="I74" s="18"/>
      <c r="K74" t="s">
        <v>79</v>
      </c>
      <c r="L74" s="26">
        <f>NETWORKDAYS(L72,L73-1,FeriadosHolidays!$A$1:$A$1264)</f>
        <v>1104</v>
      </c>
    </row>
    <row r="75" spans="2:12" x14ac:dyDescent="0.35">
      <c r="C75" s="18" t="s">
        <v>9</v>
      </c>
      <c r="D75" s="26">
        <f>NETWORKDAYS(D71,D72-1,FeriadosHolidays!$A$1:$A$1264)</f>
        <v>1104</v>
      </c>
      <c r="E75" s="18"/>
      <c r="F75" s="18" t="s">
        <v>9</v>
      </c>
      <c r="G75" s="26">
        <f>NETWORKDAYS(G71,G72-1,FeriadosHolidays!$A$1:$A$1264)</f>
        <v>825</v>
      </c>
      <c r="H75" s="26">
        <f>NETWORKDAYS(H71,H72-1,FeriadosHolidays!$A$1:$A$1264)</f>
        <v>550</v>
      </c>
      <c r="I75" s="26">
        <f>NETWORKDAYS(I71,I72-1,FeriadosHolidays!$A$1:$A$1264)</f>
        <v>359</v>
      </c>
      <c r="K75" t="s">
        <v>12</v>
      </c>
      <c r="L75">
        <f>L74/252</f>
        <v>4.3809523809523814</v>
      </c>
    </row>
    <row r="76" spans="2:12" x14ac:dyDescent="0.35">
      <c r="C76" s="18"/>
      <c r="D76" s="20"/>
      <c r="E76" s="18"/>
      <c r="F76" s="18"/>
      <c r="G76" s="20"/>
      <c r="H76" s="20"/>
      <c r="I76" s="20"/>
      <c r="K76" t="s">
        <v>54</v>
      </c>
      <c r="L76" s="21">
        <f>1000/(1+L71)^L75</f>
        <v>595.50960823358594</v>
      </c>
    </row>
    <row r="77" spans="2:12" x14ac:dyDescent="0.35">
      <c r="C77" s="18" t="s">
        <v>3</v>
      </c>
      <c r="D77" s="20">
        <f>1000/((1+D73)^(D75/252))</f>
        <v>595.50960823358594</v>
      </c>
      <c r="E77" s="18" t="s">
        <v>2</v>
      </c>
      <c r="F77" s="18" t="s">
        <v>3</v>
      </c>
      <c r="G77" s="20">
        <f t="shared" ref="G77:H77" si="3">1000/((1+G73)^(G75/252))</f>
        <v>648.38774739753842</v>
      </c>
      <c r="H77" s="20">
        <f t="shared" si="3"/>
        <v>798.97575002264944</v>
      </c>
      <c r="I77" s="20">
        <f t="shared" ref="I77" si="4">1000/((1+I73)^(I75/252))</f>
        <v>817.33651020880575</v>
      </c>
    </row>
  </sheetData>
  <mergeCells count="13">
    <mergeCell ref="B69:L69"/>
    <mergeCell ref="B12:L12"/>
    <mergeCell ref="B3:L3"/>
    <mergeCell ref="B62:L62"/>
    <mergeCell ref="B33:L33"/>
    <mergeCell ref="B44:L44"/>
    <mergeCell ref="B53:L53"/>
    <mergeCell ref="B22:L22"/>
    <mergeCell ref="I5:J5"/>
    <mergeCell ref="I6:J6"/>
    <mergeCell ref="I7:J7"/>
    <mergeCell ref="I9:J9"/>
    <mergeCell ref="I10:J10"/>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07DFF-12D3-4C3D-B48F-D602931A295E}">
  <dimension ref="A1:A1264"/>
  <sheetViews>
    <sheetView topLeftCell="A1246" workbookViewId="0"/>
  </sheetViews>
  <sheetFormatPr defaultColWidth="8.81640625" defaultRowHeight="14.5" x14ac:dyDescent="0.35"/>
  <cols>
    <col min="1" max="1" width="11.26953125" style="12" customWidth="1"/>
    <col min="2" max="16384" width="8.81640625" style="10"/>
  </cols>
  <sheetData>
    <row r="1" spans="1:1" x14ac:dyDescent="0.35">
      <c r="A1" s="9">
        <v>36892</v>
      </c>
    </row>
    <row r="2" spans="1:1" x14ac:dyDescent="0.35">
      <c r="A2" s="9">
        <v>36948</v>
      </c>
    </row>
    <row r="3" spans="1:1" x14ac:dyDescent="0.35">
      <c r="A3" s="9">
        <v>36949</v>
      </c>
    </row>
    <row r="4" spans="1:1" x14ac:dyDescent="0.35">
      <c r="A4" s="9">
        <v>36994</v>
      </c>
    </row>
    <row r="5" spans="1:1" x14ac:dyDescent="0.35">
      <c r="A5" s="9">
        <v>37002</v>
      </c>
    </row>
    <row r="6" spans="1:1" x14ac:dyDescent="0.35">
      <c r="A6" s="9">
        <v>37012</v>
      </c>
    </row>
    <row r="7" spans="1:1" x14ac:dyDescent="0.35">
      <c r="A7" s="9">
        <v>37056</v>
      </c>
    </row>
    <row r="8" spans="1:1" x14ac:dyDescent="0.35">
      <c r="A8" s="9">
        <v>37141</v>
      </c>
    </row>
    <row r="9" spans="1:1" x14ac:dyDescent="0.35">
      <c r="A9" s="9">
        <v>37176</v>
      </c>
    </row>
    <row r="10" spans="1:1" x14ac:dyDescent="0.35">
      <c r="A10" s="9">
        <v>37197</v>
      </c>
    </row>
    <row r="11" spans="1:1" x14ac:dyDescent="0.35">
      <c r="A11" s="9">
        <v>37210</v>
      </c>
    </row>
    <row r="12" spans="1:1" x14ac:dyDescent="0.35">
      <c r="A12" s="9">
        <v>37250</v>
      </c>
    </row>
    <row r="13" spans="1:1" x14ac:dyDescent="0.35">
      <c r="A13" s="11">
        <v>37257</v>
      </c>
    </row>
    <row r="14" spans="1:1" x14ac:dyDescent="0.35">
      <c r="A14" s="11">
        <v>37298</v>
      </c>
    </row>
    <row r="15" spans="1:1" x14ac:dyDescent="0.35">
      <c r="A15" s="11">
        <v>37299</v>
      </c>
    </row>
    <row r="16" spans="1:1" x14ac:dyDescent="0.35">
      <c r="A16" s="11">
        <v>37344</v>
      </c>
    </row>
    <row r="17" spans="1:1" x14ac:dyDescent="0.35">
      <c r="A17" s="11">
        <v>37367</v>
      </c>
    </row>
    <row r="18" spans="1:1" x14ac:dyDescent="0.35">
      <c r="A18" s="11">
        <v>37377</v>
      </c>
    </row>
    <row r="19" spans="1:1" x14ac:dyDescent="0.35">
      <c r="A19" s="11">
        <v>37406</v>
      </c>
    </row>
    <row r="20" spans="1:1" x14ac:dyDescent="0.35">
      <c r="A20" s="11">
        <v>37506</v>
      </c>
    </row>
    <row r="21" spans="1:1" x14ac:dyDescent="0.35">
      <c r="A21" s="11">
        <v>37541</v>
      </c>
    </row>
    <row r="22" spans="1:1" x14ac:dyDescent="0.35">
      <c r="A22" s="11">
        <v>37562</v>
      </c>
    </row>
    <row r="23" spans="1:1" x14ac:dyDescent="0.35">
      <c r="A23" s="11">
        <v>37575</v>
      </c>
    </row>
    <row r="24" spans="1:1" x14ac:dyDescent="0.35">
      <c r="A24" s="11">
        <v>37615</v>
      </c>
    </row>
    <row r="25" spans="1:1" x14ac:dyDescent="0.35">
      <c r="A25" s="9">
        <v>37622</v>
      </c>
    </row>
    <row r="26" spans="1:1" x14ac:dyDescent="0.35">
      <c r="A26" s="9">
        <v>37683</v>
      </c>
    </row>
    <row r="27" spans="1:1" x14ac:dyDescent="0.35">
      <c r="A27" s="9">
        <v>37684</v>
      </c>
    </row>
    <row r="28" spans="1:1" x14ac:dyDescent="0.35">
      <c r="A28" s="9">
        <v>37729</v>
      </c>
    </row>
    <row r="29" spans="1:1" x14ac:dyDescent="0.35">
      <c r="A29" s="9">
        <v>37732</v>
      </c>
    </row>
    <row r="30" spans="1:1" x14ac:dyDescent="0.35">
      <c r="A30" s="9">
        <v>37742</v>
      </c>
    </row>
    <row r="31" spans="1:1" x14ac:dyDescent="0.35">
      <c r="A31" s="9">
        <v>37791</v>
      </c>
    </row>
    <row r="32" spans="1:1" x14ac:dyDescent="0.35">
      <c r="A32" s="9">
        <v>37871</v>
      </c>
    </row>
    <row r="33" spans="1:1" x14ac:dyDescent="0.35">
      <c r="A33" s="9">
        <v>37906</v>
      </c>
    </row>
    <row r="34" spans="1:1" x14ac:dyDescent="0.35">
      <c r="A34" s="9">
        <v>37927</v>
      </c>
    </row>
    <row r="35" spans="1:1" x14ac:dyDescent="0.35">
      <c r="A35" s="9">
        <v>37940</v>
      </c>
    </row>
    <row r="36" spans="1:1" x14ac:dyDescent="0.35">
      <c r="A36" s="9">
        <v>37980</v>
      </c>
    </row>
    <row r="37" spans="1:1" x14ac:dyDescent="0.35">
      <c r="A37" s="11">
        <v>37987</v>
      </c>
    </row>
    <row r="38" spans="1:1" x14ac:dyDescent="0.35">
      <c r="A38" s="11">
        <v>38040</v>
      </c>
    </row>
    <row r="39" spans="1:1" x14ac:dyDescent="0.35">
      <c r="A39" s="11">
        <v>38041</v>
      </c>
    </row>
    <row r="40" spans="1:1" x14ac:dyDescent="0.35">
      <c r="A40" s="11">
        <v>38086</v>
      </c>
    </row>
    <row r="41" spans="1:1" x14ac:dyDescent="0.35">
      <c r="A41" s="11">
        <v>38098</v>
      </c>
    </row>
    <row r="42" spans="1:1" x14ac:dyDescent="0.35">
      <c r="A42" s="11">
        <v>38108</v>
      </c>
    </row>
    <row r="43" spans="1:1" x14ac:dyDescent="0.35">
      <c r="A43" s="11">
        <v>38148</v>
      </c>
    </row>
    <row r="44" spans="1:1" x14ac:dyDescent="0.35">
      <c r="A44" s="11">
        <v>38237</v>
      </c>
    </row>
    <row r="45" spans="1:1" x14ac:dyDescent="0.35">
      <c r="A45" s="11">
        <v>38272</v>
      </c>
    </row>
    <row r="46" spans="1:1" x14ac:dyDescent="0.35">
      <c r="A46" s="11">
        <v>38293</v>
      </c>
    </row>
    <row r="47" spans="1:1" x14ac:dyDescent="0.35">
      <c r="A47" s="11">
        <v>38306</v>
      </c>
    </row>
    <row r="48" spans="1:1" x14ac:dyDescent="0.35">
      <c r="A48" s="11">
        <v>38346</v>
      </c>
    </row>
    <row r="49" spans="1:1" x14ac:dyDescent="0.35">
      <c r="A49" s="9">
        <v>38353</v>
      </c>
    </row>
    <row r="50" spans="1:1" x14ac:dyDescent="0.35">
      <c r="A50" s="9">
        <v>38390</v>
      </c>
    </row>
    <row r="51" spans="1:1" x14ac:dyDescent="0.35">
      <c r="A51" s="9">
        <v>38391</v>
      </c>
    </row>
    <row r="52" spans="1:1" x14ac:dyDescent="0.35">
      <c r="A52" s="9">
        <v>38436</v>
      </c>
    </row>
    <row r="53" spans="1:1" x14ac:dyDescent="0.35">
      <c r="A53" s="9">
        <v>38463</v>
      </c>
    </row>
    <row r="54" spans="1:1" x14ac:dyDescent="0.35">
      <c r="A54" s="9">
        <v>38473</v>
      </c>
    </row>
    <row r="55" spans="1:1" x14ac:dyDescent="0.35">
      <c r="A55" s="9">
        <v>38498</v>
      </c>
    </row>
    <row r="56" spans="1:1" x14ac:dyDescent="0.35">
      <c r="A56" s="9">
        <v>38602</v>
      </c>
    </row>
    <row r="57" spans="1:1" x14ac:dyDescent="0.35">
      <c r="A57" s="9">
        <v>38637</v>
      </c>
    </row>
    <row r="58" spans="1:1" x14ac:dyDescent="0.35">
      <c r="A58" s="9">
        <v>38658</v>
      </c>
    </row>
    <row r="59" spans="1:1" x14ac:dyDescent="0.35">
      <c r="A59" s="9">
        <v>38671</v>
      </c>
    </row>
    <row r="60" spans="1:1" x14ac:dyDescent="0.35">
      <c r="A60" s="9">
        <v>38711</v>
      </c>
    </row>
    <row r="61" spans="1:1" x14ac:dyDescent="0.35">
      <c r="A61" s="11">
        <v>38718</v>
      </c>
    </row>
    <row r="62" spans="1:1" x14ac:dyDescent="0.35">
      <c r="A62" s="11">
        <v>38775</v>
      </c>
    </row>
    <row r="63" spans="1:1" x14ac:dyDescent="0.35">
      <c r="A63" s="11">
        <v>38776</v>
      </c>
    </row>
    <row r="64" spans="1:1" x14ac:dyDescent="0.35">
      <c r="A64" s="11">
        <v>38821</v>
      </c>
    </row>
    <row r="65" spans="1:1" x14ac:dyDescent="0.35">
      <c r="A65" s="11">
        <v>38828</v>
      </c>
    </row>
    <row r="66" spans="1:1" x14ac:dyDescent="0.35">
      <c r="A66" s="11">
        <v>38838</v>
      </c>
    </row>
    <row r="67" spans="1:1" x14ac:dyDescent="0.35">
      <c r="A67" s="11">
        <v>38883</v>
      </c>
    </row>
    <row r="68" spans="1:1" x14ac:dyDescent="0.35">
      <c r="A68" s="11">
        <v>38967</v>
      </c>
    </row>
    <row r="69" spans="1:1" x14ac:dyDescent="0.35">
      <c r="A69" s="11">
        <v>39002</v>
      </c>
    </row>
    <row r="70" spans="1:1" x14ac:dyDescent="0.35">
      <c r="A70" s="11">
        <v>39023</v>
      </c>
    </row>
    <row r="71" spans="1:1" x14ac:dyDescent="0.35">
      <c r="A71" s="11">
        <v>39036</v>
      </c>
    </row>
    <row r="72" spans="1:1" x14ac:dyDescent="0.35">
      <c r="A72" s="11">
        <v>39076</v>
      </c>
    </row>
    <row r="73" spans="1:1" x14ac:dyDescent="0.35">
      <c r="A73" s="9">
        <v>39083</v>
      </c>
    </row>
    <row r="74" spans="1:1" x14ac:dyDescent="0.35">
      <c r="A74" s="9">
        <v>39132</v>
      </c>
    </row>
    <row r="75" spans="1:1" x14ac:dyDescent="0.35">
      <c r="A75" s="9">
        <v>39133</v>
      </c>
    </row>
    <row r="76" spans="1:1" x14ac:dyDescent="0.35">
      <c r="A76" s="9">
        <v>39178</v>
      </c>
    </row>
    <row r="77" spans="1:1" x14ac:dyDescent="0.35">
      <c r="A77" s="9">
        <v>39193</v>
      </c>
    </row>
    <row r="78" spans="1:1" x14ac:dyDescent="0.35">
      <c r="A78" s="9">
        <v>39203</v>
      </c>
    </row>
    <row r="79" spans="1:1" x14ac:dyDescent="0.35">
      <c r="A79" s="9">
        <v>39240</v>
      </c>
    </row>
    <row r="80" spans="1:1" x14ac:dyDescent="0.35">
      <c r="A80" s="9">
        <v>39332</v>
      </c>
    </row>
    <row r="81" spans="1:1" x14ac:dyDescent="0.35">
      <c r="A81" s="9">
        <v>39367</v>
      </c>
    </row>
    <row r="82" spans="1:1" x14ac:dyDescent="0.35">
      <c r="A82" s="9">
        <v>39388</v>
      </c>
    </row>
    <row r="83" spans="1:1" x14ac:dyDescent="0.35">
      <c r="A83" s="9">
        <v>39401</v>
      </c>
    </row>
    <row r="84" spans="1:1" x14ac:dyDescent="0.35">
      <c r="A84" s="9">
        <v>39441</v>
      </c>
    </row>
    <row r="85" spans="1:1" x14ac:dyDescent="0.35">
      <c r="A85" s="11">
        <v>39448</v>
      </c>
    </row>
    <row r="86" spans="1:1" x14ac:dyDescent="0.35">
      <c r="A86" s="11">
        <v>39482</v>
      </c>
    </row>
    <row r="87" spans="1:1" x14ac:dyDescent="0.35">
      <c r="A87" s="11">
        <v>39483</v>
      </c>
    </row>
    <row r="88" spans="1:1" x14ac:dyDescent="0.35">
      <c r="A88" s="11">
        <v>39528</v>
      </c>
    </row>
    <row r="89" spans="1:1" x14ac:dyDescent="0.35">
      <c r="A89" s="11">
        <v>39559</v>
      </c>
    </row>
    <row r="90" spans="1:1" x14ac:dyDescent="0.35">
      <c r="A90" s="11">
        <v>39569</v>
      </c>
    </row>
    <row r="91" spans="1:1" x14ac:dyDescent="0.35">
      <c r="A91" s="11">
        <v>39590</v>
      </c>
    </row>
    <row r="92" spans="1:1" x14ac:dyDescent="0.35">
      <c r="A92" s="11">
        <v>39698</v>
      </c>
    </row>
    <row r="93" spans="1:1" x14ac:dyDescent="0.35">
      <c r="A93" s="11">
        <v>39733</v>
      </c>
    </row>
    <row r="94" spans="1:1" x14ac:dyDescent="0.35">
      <c r="A94" s="11">
        <v>39754</v>
      </c>
    </row>
    <row r="95" spans="1:1" x14ac:dyDescent="0.35">
      <c r="A95" s="11">
        <v>39767</v>
      </c>
    </row>
    <row r="96" spans="1:1" x14ac:dyDescent="0.35">
      <c r="A96" s="11">
        <v>39807</v>
      </c>
    </row>
    <row r="97" spans="1:1" x14ac:dyDescent="0.35">
      <c r="A97" s="9">
        <v>39814</v>
      </c>
    </row>
    <row r="98" spans="1:1" x14ac:dyDescent="0.35">
      <c r="A98" s="9">
        <v>39867</v>
      </c>
    </row>
    <row r="99" spans="1:1" x14ac:dyDescent="0.35">
      <c r="A99" s="9">
        <v>39868</v>
      </c>
    </row>
    <row r="100" spans="1:1" x14ac:dyDescent="0.35">
      <c r="A100" s="9">
        <v>39913</v>
      </c>
    </row>
    <row r="101" spans="1:1" x14ac:dyDescent="0.35">
      <c r="A101" s="9">
        <v>39924</v>
      </c>
    </row>
    <row r="102" spans="1:1" x14ac:dyDescent="0.35">
      <c r="A102" s="9">
        <v>39934</v>
      </c>
    </row>
    <row r="103" spans="1:1" x14ac:dyDescent="0.35">
      <c r="A103" s="9">
        <v>39975</v>
      </c>
    </row>
    <row r="104" spans="1:1" x14ac:dyDescent="0.35">
      <c r="A104" s="9">
        <v>40063</v>
      </c>
    </row>
    <row r="105" spans="1:1" x14ac:dyDescent="0.35">
      <c r="A105" s="9">
        <v>40098</v>
      </c>
    </row>
    <row r="106" spans="1:1" x14ac:dyDescent="0.35">
      <c r="A106" s="9">
        <v>40119</v>
      </c>
    </row>
    <row r="107" spans="1:1" x14ac:dyDescent="0.35">
      <c r="A107" s="9">
        <v>40132</v>
      </c>
    </row>
    <row r="108" spans="1:1" x14ac:dyDescent="0.35">
      <c r="A108" s="9">
        <v>40172</v>
      </c>
    </row>
    <row r="109" spans="1:1" x14ac:dyDescent="0.35">
      <c r="A109" s="11">
        <v>40179</v>
      </c>
    </row>
    <row r="110" spans="1:1" x14ac:dyDescent="0.35">
      <c r="A110" s="11">
        <v>40224</v>
      </c>
    </row>
    <row r="111" spans="1:1" x14ac:dyDescent="0.35">
      <c r="A111" s="11">
        <v>40225</v>
      </c>
    </row>
    <row r="112" spans="1:1" x14ac:dyDescent="0.35">
      <c r="A112" s="11">
        <v>40270</v>
      </c>
    </row>
    <row r="113" spans="1:1" x14ac:dyDescent="0.35">
      <c r="A113" s="11">
        <v>40289</v>
      </c>
    </row>
    <row r="114" spans="1:1" x14ac:dyDescent="0.35">
      <c r="A114" s="11">
        <v>40299</v>
      </c>
    </row>
    <row r="115" spans="1:1" x14ac:dyDescent="0.35">
      <c r="A115" s="11">
        <v>40332</v>
      </c>
    </row>
    <row r="116" spans="1:1" x14ac:dyDescent="0.35">
      <c r="A116" s="11">
        <v>40428</v>
      </c>
    </row>
    <row r="117" spans="1:1" x14ac:dyDescent="0.35">
      <c r="A117" s="11">
        <v>40463</v>
      </c>
    </row>
    <row r="118" spans="1:1" x14ac:dyDescent="0.35">
      <c r="A118" s="11">
        <v>40484</v>
      </c>
    </row>
    <row r="119" spans="1:1" x14ac:dyDescent="0.35">
      <c r="A119" s="11">
        <v>40497</v>
      </c>
    </row>
    <row r="120" spans="1:1" x14ac:dyDescent="0.35">
      <c r="A120" s="11">
        <v>40537</v>
      </c>
    </row>
    <row r="121" spans="1:1" x14ac:dyDescent="0.35">
      <c r="A121" s="9">
        <v>40544</v>
      </c>
    </row>
    <row r="122" spans="1:1" x14ac:dyDescent="0.35">
      <c r="A122" s="9">
        <v>40609</v>
      </c>
    </row>
    <row r="123" spans="1:1" x14ac:dyDescent="0.35">
      <c r="A123" s="9">
        <v>40610</v>
      </c>
    </row>
    <row r="124" spans="1:1" x14ac:dyDescent="0.35">
      <c r="A124" s="9">
        <v>40654</v>
      </c>
    </row>
    <row r="125" spans="1:1" x14ac:dyDescent="0.35">
      <c r="A125" s="9">
        <v>40655</v>
      </c>
    </row>
    <row r="126" spans="1:1" x14ac:dyDescent="0.35">
      <c r="A126" s="9">
        <v>40664</v>
      </c>
    </row>
    <row r="127" spans="1:1" x14ac:dyDescent="0.35">
      <c r="A127" s="9">
        <v>40717</v>
      </c>
    </row>
    <row r="128" spans="1:1" x14ac:dyDescent="0.35">
      <c r="A128" s="9">
        <v>40793</v>
      </c>
    </row>
    <row r="129" spans="1:1" x14ac:dyDescent="0.35">
      <c r="A129" s="9">
        <v>40828</v>
      </c>
    </row>
    <row r="130" spans="1:1" x14ac:dyDescent="0.35">
      <c r="A130" s="9">
        <v>40849</v>
      </c>
    </row>
    <row r="131" spans="1:1" x14ac:dyDescent="0.35">
      <c r="A131" s="9">
        <v>40862</v>
      </c>
    </row>
    <row r="132" spans="1:1" x14ac:dyDescent="0.35">
      <c r="A132" s="9">
        <v>40902</v>
      </c>
    </row>
    <row r="133" spans="1:1" x14ac:dyDescent="0.35">
      <c r="A133" s="11">
        <v>40909</v>
      </c>
    </row>
    <row r="134" spans="1:1" x14ac:dyDescent="0.35">
      <c r="A134" s="11">
        <v>40959</v>
      </c>
    </row>
    <row r="135" spans="1:1" x14ac:dyDescent="0.35">
      <c r="A135" s="11">
        <v>40960</v>
      </c>
    </row>
    <row r="136" spans="1:1" x14ac:dyDescent="0.35">
      <c r="A136" s="11">
        <v>41005</v>
      </c>
    </row>
    <row r="137" spans="1:1" x14ac:dyDescent="0.35">
      <c r="A137" s="11">
        <v>41020</v>
      </c>
    </row>
    <row r="138" spans="1:1" x14ac:dyDescent="0.35">
      <c r="A138" s="11">
        <v>41030</v>
      </c>
    </row>
    <row r="139" spans="1:1" x14ac:dyDescent="0.35">
      <c r="A139" s="11">
        <v>41067</v>
      </c>
    </row>
    <row r="140" spans="1:1" x14ac:dyDescent="0.35">
      <c r="A140" s="11">
        <v>41159</v>
      </c>
    </row>
    <row r="141" spans="1:1" x14ac:dyDescent="0.35">
      <c r="A141" s="11">
        <v>41194</v>
      </c>
    </row>
    <row r="142" spans="1:1" x14ac:dyDescent="0.35">
      <c r="A142" s="11">
        <v>41215</v>
      </c>
    </row>
    <row r="143" spans="1:1" x14ac:dyDescent="0.35">
      <c r="A143" s="11">
        <v>41228</v>
      </c>
    </row>
    <row r="144" spans="1:1" x14ac:dyDescent="0.35">
      <c r="A144" s="11">
        <v>41268</v>
      </c>
    </row>
    <row r="145" spans="1:1" x14ac:dyDescent="0.35">
      <c r="A145" s="9">
        <v>41275</v>
      </c>
    </row>
    <row r="146" spans="1:1" x14ac:dyDescent="0.35">
      <c r="A146" s="9">
        <v>41316</v>
      </c>
    </row>
    <row r="147" spans="1:1" x14ac:dyDescent="0.35">
      <c r="A147" s="9">
        <v>41317</v>
      </c>
    </row>
    <row r="148" spans="1:1" x14ac:dyDescent="0.35">
      <c r="A148" s="9">
        <v>41362</v>
      </c>
    </row>
    <row r="149" spans="1:1" x14ac:dyDescent="0.35">
      <c r="A149" s="9">
        <v>41385</v>
      </c>
    </row>
    <row r="150" spans="1:1" x14ac:dyDescent="0.35">
      <c r="A150" s="9">
        <v>41395</v>
      </c>
    </row>
    <row r="151" spans="1:1" x14ac:dyDescent="0.35">
      <c r="A151" s="9">
        <v>41424</v>
      </c>
    </row>
    <row r="152" spans="1:1" x14ac:dyDescent="0.35">
      <c r="A152" s="9">
        <v>41524</v>
      </c>
    </row>
    <row r="153" spans="1:1" x14ac:dyDescent="0.35">
      <c r="A153" s="9">
        <v>41559</v>
      </c>
    </row>
    <row r="154" spans="1:1" x14ac:dyDescent="0.35">
      <c r="A154" s="9">
        <v>41580</v>
      </c>
    </row>
    <row r="155" spans="1:1" x14ac:dyDescent="0.35">
      <c r="A155" s="9">
        <v>41593</v>
      </c>
    </row>
    <row r="156" spans="1:1" x14ac:dyDescent="0.35">
      <c r="A156" s="9">
        <v>41633</v>
      </c>
    </row>
    <row r="157" spans="1:1" x14ac:dyDescent="0.35">
      <c r="A157" s="11">
        <v>41640</v>
      </c>
    </row>
    <row r="158" spans="1:1" x14ac:dyDescent="0.35">
      <c r="A158" s="11">
        <v>41701</v>
      </c>
    </row>
    <row r="159" spans="1:1" x14ac:dyDescent="0.35">
      <c r="A159" s="11">
        <v>41702</v>
      </c>
    </row>
    <row r="160" spans="1:1" x14ac:dyDescent="0.35">
      <c r="A160" s="11">
        <v>41747</v>
      </c>
    </row>
    <row r="161" spans="1:1" x14ac:dyDescent="0.35">
      <c r="A161" s="11">
        <v>41750</v>
      </c>
    </row>
    <row r="162" spans="1:1" x14ac:dyDescent="0.35">
      <c r="A162" s="11">
        <v>41760</v>
      </c>
    </row>
    <row r="163" spans="1:1" x14ac:dyDescent="0.35">
      <c r="A163" s="11">
        <v>41809</v>
      </c>
    </row>
    <row r="164" spans="1:1" x14ac:dyDescent="0.35">
      <c r="A164" s="11">
        <v>41889</v>
      </c>
    </row>
    <row r="165" spans="1:1" x14ac:dyDescent="0.35">
      <c r="A165" s="11">
        <v>41924</v>
      </c>
    </row>
    <row r="166" spans="1:1" x14ac:dyDescent="0.35">
      <c r="A166" s="11">
        <v>41945</v>
      </c>
    </row>
    <row r="167" spans="1:1" x14ac:dyDescent="0.35">
      <c r="A167" s="11">
        <v>41958</v>
      </c>
    </row>
    <row r="168" spans="1:1" x14ac:dyDescent="0.35">
      <c r="A168" s="11">
        <v>41998</v>
      </c>
    </row>
    <row r="169" spans="1:1" x14ac:dyDescent="0.35">
      <c r="A169" s="9">
        <v>42005</v>
      </c>
    </row>
    <row r="170" spans="1:1" x14ac:dyDescent="0.35">
      <c r="A170" s="9">
        <v>42051</v>
      </c>
    </row>
    <row r="171" spans="1:1" x14ac:dyDescent="0.35">
      <c r="A171" s="9">
        <v>42052</v>
      </c>
    </row>
    <row r="172" spans="1:1" x14ac:dyDescent="0.35">
      <c r="A172" s="9">
        <v>42097</v>
      </c>
    </row>
    <row r="173" spans="1:1" x14ac:dyDescent="0.35">
      <c r="A173" s="9">
        <v>42115</v>
      </c>
    </row>
    <row r="174" spans="1:1" x14ac:dyDescent="0.35">
      <c r="A174" s="9">
        <v>42125</v>
      </c>
    </row>
    <row r="175" spans="1:1" x14ac:dyDescent="0.35">
      <c r="A175" s="9">
        <v>42159</v>
      </c>
    </row>
    <row r="176" spans="1:1" x14ac:dyDescent="0.35">
      <c r="A176" s="9">
        <v>42254</v>
      </c>
    </row>
    <row r="177" spans="1:1" x14ac:dyDescent="0.35">
      <c r="A177" s="9">
        <v>42289</v>
      </c>
    </row>
    <row r="178" spans="1:1" x14ac:dyDescent="0.35">
      <c r="A178" s="9">
        <v>42310</v>
      </c>
    </row>
    <row r="179" spans="1:1" x14ac:dyDescent="0.35">
      <c r="A179" s="9">
        <v>42323</v>
      </c>
    </row>
    <row r="180" spans="1:1" x14ac:dyDescent="0.35">
      <c r="A180" s="9">
        <v>42363</v>
      </c>
    </row>
    <row r="181" spans="1:1" x14ac:dyDescent="0.35">
      <c r="A181" s="11">
        <v>42370</v>
      </c>
    </row>
    <row r="182" spans="1:1" x14ac:dyDescent="0.35">
      <c r="A182" s="11">
        <v>42408</v>
      </c>
    </row>
    <row r="183" spans="1:1" x14ac:dyDescent="0.35">
      <c r="A183" s="11">
        <v>42409</v>
      </c>
    </row>
    <row r="184" spans="1:1" x14ac:dyDescent="0.35">
      <c r="A184" s="11">
        <v>42454</v>
      </c>
    </row>
    <row r="185" spans="1:1" x14ac:dyDescent="0.35">
      <c r="A185" s="11">
        <v>42481</v>
      </c>
    </row>
    <row r="186" spans="1:1" x14ac:dyDescent="0.35">
      <c r="A186" s="11">
        <v>42491</v>
      </c>
    </row>
    <row r="187" spans="1:1" x14ac:dyDescent="0.35">
      <c r="A187" s="11">
        <v>42516</v>
      </c>
    </row>
    <row r="188" spans="1:1" x14ac:dyDescent="0.35">
      <c r="A188" s="11">
        <v>42620</v>
      </c>
    </row>
    <row r="189" spans="1:1" x14ac:dyDescent="0.35">
      <c r="A189" s="11">
        <v>42655</v>
      </c>
    </row>
    <row r="190" spans="1:1" x14ac:dyDescent="0.35">
      <c r="A190" s="11">
        <v>42676</v>
      </c>
    </row>
    <row r="191" spans="1:1" x14ac:dyDescent="0.35">
      <c r="A191" s="11">
        <v>42689</v>
      </c>
    </row>
    <row r="192" spans="1:1" x14ac:dyDescent="0.35">
      <c r="A192" s="11">
        <v>42729</v>
      </c>
    </row>
    <row r="193" spans="1:1" x14ac:dyDescent="0.35">
      <c r="A193" s="9">
        <v>42736</v>
      </c>
    </row>
    <row r="194" spans="1:1" x14ac:dyDescent="0.35">
      <c r="A194" s="9">
        <v>42793</v>
      </c>
    </row>
    <row r="195" spans="1:1" x14ac:dyDescent="0.35">
      <c r="A195" s="9">
        <v>42794</v>
      </c>
    </row>
    <row r="196" spans="1:1" x14ac:dyDescent="0.35">
      <c r="A196" s="9">
        <v>42839</v>
      </c>
    </row>
    <row r="197" spans="1:1" x14ac:dyDescent="0.35">
      <c r="A197" s="9">
        <v>42846</v>
      </c>
    </row>
    <row r="198" spans="1:1" x14ac:dyDescent="0.35">
      <c r="A198" s="9">
        <v>42856</v>
      </c>
    </row>
    <row r="199" spans="1:1" x14ac:dyDescent="0.35">
      <c r="A199" s="9">
        <v>42901</v>
      </c>
    </row>
    <row r="200" spans="1:1" x14ac:dyDescent="0.35">
      <c r="A200" s="9">
        <v>42985</v>
      </c>
    </row>
    <row r="201" spans="1:1" x14ac:dyDescent="0.35">
      <c r="A201" s="9">
        <v>43020</v>
      </c>
    </row>
    <row r="202" spans="1:1" x14ac:dyDescent="0.35">
      <c r="A202" s="9">
        <v>43041</v>
      </c>
    </row>
    <row r="203" spans="1:1" x14ac:dyDescent="0.35">
      <c r="A203" s="9">
        <v>43054</v>
      </c>
    </row>
    <row r="204" spans="1:1" x14ac:dyDescent="0.35">
      <c r="A204" s="9">
        <v>43094</v>
      </c>
    </row>
    <row r="205" spans="1:1" x14ac:dyDescent="0.35">
      <c r="A205" s="11">
        <v>43101</v>
      </c>
    </row>
    <row r="206" spans="1:1" x14ac:dyDescent="0.35">
      <c r="A206" s="11">
        <v>43143</v>
      </c>
    </row>
    <row r="207" spans="1:1" x14ac:dyDescent="0.35">
      <c r="A207" s="11">
        <v>43144</v>
      </c>
    </row>
    <row r="208" spans="1:1" x14ac:dyDescent="0.35">
      <c r="A208" s="11">
        <v>43189</v>
      </c>
    </row>
    <row r="209" spans="1:1" x14ac:dyDescent="0.35">
      <c r="A209" s="11">
        <v>43211</v>
      </c>
    </row>
    <row r="210" spans="1:1" x14ac:dyDescent="0.35">
      <c r="A210" s="11">
        <v>43221</v>
      </c>
    </row>
    <row r="211" spans="1:1" x14ac:dyDescent="0.35">
      <c r="A211" s="11">
        <v>43251</v>
      </c>
    </row>
    <row r="212" spans="1:1" x14ac:dyDescent="0.35">
      <c r="A212" s="11">
        <v>43350</v>
      </c>
    </row>
    <row r="213" spans="1:1" x14ac:dyDescent="0.35">
      <c r="A213" s="11">
        <v>43385</v>
      </c>
    </row>
    <row r="214" spans="1:1" x14ac:dyDescent="0.35">
      <c r="A214" s="11">
        <v>43406</v>
      </c>
    </row>
    <row r="215" spans="1:1" x14ac:dyDescent="0.35">
      <c r="A215" s="11">
        <v>43419</v>
      </c>
    </row>
    <row r="216" spans="1:1" x14ac:dyDescent="0.35">
      <c r="A216" s="11">
        <v>43459</v>
      </c>
    </row>
    <row r="217" spans="1:1" x14ac:dyDescent="0.35">
      <c r="A217" s="9">
        <v>43466</v>
      </c>
    </row>
    <row r="218" spans="1:1" x14ac:dyDescent="0.35">
      <c r="A218" s="9">
        <v>43528</v>
      </c>
    </row>
    <row r="219" spans="1:1" x14ac:dyDescent="0.35">
      <c r="A219" s="9">
        <v>43529</v>
      </c>
    </row>
    <row r="220" spans="1:1" x14ac:dyDescent="0.35">
      <c r="A220" s="9">
        <v>43574</v>
      </c>
    </row>
    <row r="221" spans="1:1" x14ac:dyDescent="0.35">
      <c r="A221" s="9">
        <v>43576</v>
      </c>
    </row>
    <row r="222" spans="1:1" x14ac:dyDescent="0.35">
      <c r="A222" s="9">
        <v>43586</v>
      </c>
    </row>
    <row r="223" spans="1:1" x14ac:dyDescent="0.35">
      <c r="A223" s="9">
        <v>43636</v>
      </c>
    </row>
    <row r="224" spans="1:1" x14ac:dyDescent="0.35">
      <c r="A224" s="9">
        <v>43715</v>
      </c>
    </row>
    <row r="225" spans="1:1" x14ac:dyDescent="0.35">
      <c r="A225" s="9">
        <v>43750</v>
      </c>
    </row>
    <row r="226" spans="1:1" x14ac:dyDescent="0.35">
      <c r="A226" s="9">
        <v>43771</v>
      </c>
    </row>
    <row r="227" spans="1:1" x14ac:dyDescent="0.35">
      <c r="A227" s="9">
        <v>43784</v>
      </c>
    </row>
    <row r="228" spans="1:1" x14ac:dyDescent="0.35">
      <c r="A228" s="9">
        <v>43824</v>
      </c>
    </row>
    <row r="229" spans="1:1" x14ac:dyDescent="0.35">
      <c r="A229" s="11">
        <v>43831</v>
      </c>
    </row>
    <row r="230" spans="1:1" x14ac:dyDescent="0.35">
      <c r="A230" s="11">
        <v>43885</v>
      </c>
    </row>
    <row r="231" spans="1:1" x14ac:dyDescent="0.35">
      <c r="A231" s="11">
        <v>43886</v>
      </c>
    </row>
    <row r="232" spans="1:1" x14ac:dyDescent="0.35">
      <c r="A232" s="11">
        <v>43931</v>
      </c>
    </row>
    <row r="233" spans="1:1" x14ac:dyDescent="0.35">
      <c r="A233" s="11">
        <v>43942</v>
      </c>
    </row>
    <row r="234" spans="1:1" x14ac:dyDescent="0.35">
      <c r="A234" s="11">
        <v>43952</v>
      </c>
    </row>
    <row r="235" spans="1:1" x14ac:dyDescent="0.35">
      <c r="A235" s="11">
        <v>43993</v>
      </c>
    </row>
    <row r="236" spans="1:1" x14ac:dyDescent="0.35">
      <c r="A236" s="11">
        <v>44081</v>
      </c>
    </row>
    <row r="237" spans="1:1" x14ac:dyDescent="0.35">
      <c r="A237" s="11">
        <v>44116</v>
      </c>
    </row>
    <row r="238" spans="1:1" x14ac:dyDescent="0.35">
      <c r="A238" s="11">
        <v>44137</v>
      </c>
    </row>
    <row r="239" spans="1:1" x14ac:dyDescent="0.35">
      <c r="A239" s="11">
        <v>44150</v>
      </c>
    </row>
    <row r="240" spans="1:1" x14ac:dyDescent="0.35">
      <c r="A240" s="11">
        <v>44190</v>
      </c>
    </row>
    <row r="241" spans="1:1" x14ac:dyDescent="0.35">
      <c r="A241" s="9">
        <v>44197</v>
      </c>
    </row>
    <row r="242" spans="1:1" x14ac:dyDescent="0.35">
      <c r="A242" s="9">
        <v>44242</v>
      </c>
    </row>
    <row r="243" spans="1:1" x14ac:dyDescent="0.35">
      <c r="A243" s="9">
        <v>44243</v>
      </c>
    </row>
    <row r="244" spans="1:1" x14ac:dyDescent="0.35">
      <c r="A244" s="9">
        <v>44288</v>
      </c>
    </row>
    <row r="245" spans="1:1" x14ac:dyDescent="0.35">
      <c r="A245" s="9">
        <v>44307</v>
      </c>
    </row>
    <row r="246" spans="1:1" x14ac:dyDescent="0.35">
      <c r="A246" s="9">
        <v>44317</v>
      </c>
    </row>
    <row r="247" spans="1:1" x14ac:dyDescent="0.35">
      <c r="A247" s="9">
        <v>44350</v>
      </c>
    </row>
    <row r="248" spans="1:1" x14ac:dyDescent="0.35">
      <c r="A248" s="9">
        <v>44446</v>
      </c>
    </row>
    <row r="249" spans="1:1" x14ac:dyDescent="0.35">
      <c r="A249" s="9">
        <v>44481</v>
      </c>
    </row>
    <row r="250" spans="1:1" x14ac:dyDescent="0.35">
      <c r="A250" s="9">
        <v>44502</v>
      </c>
    </row>
    <row r="251" spans="1:1" x14ac:dyDescent="0.35">
      <c r="A251" s="9">
        <v>44515</v>
      </c>
    </row>
    <row r="252" spans="1:1" x14ac:dyDescent="0.35">
      <c r="A252" s="9">
        <v>44555</v>
      </c>
    </row>
    <row r="253" spans="1:1" x14ac:dyDescent="0.35">
      <c r="A253" s="11">
        <v>44562</v>
      </c>
    </row>
    <row r="254" spans="1:1" x14ac:dyDescent="0.35">
      <c r="A254" s="11">
        <v>44620</v>
      </c>
    </row>
    <row r="255" spans="1:1" x14ac:dyDescent="0.35">
      <c r="A255" s="11">
        <v>44621</v>
      </c>
    </row>
    <row r="256" spans="1:1" x14ac:dyDescent="0.35">
      <c r="A256" s="11">
        <v>44666</v>
      </c>
    </row>
    <row r="257" spans="1:1" x14ac:dyDescent="0.35">
      <c r="A257" s="11">
        <v>44672</v>
      </c>
    </row>
    <row r="258" spans="1:1" x14ac:dyDescent="0.35">
      <c r="A258" s="11">
        <v>44682</v>
      </c>
    </row>
    <row r="259" spans="1:1" x14ac:dyDescent="0.35">
      <c r="A259" s="11">
        <v>44728</v>
      </c>
    </row>
    <row r="260" spans="1:1" x14ac:dyDescent="0.35">
      <c r="A260" s="11">
        <v>44811</v>
      </c>
    </row>
    <row r="261" spans="1:1" x14ac:dyDescent="0.35">
      <c r="A261" s="11">
        <v>44846</v>
      </c>
    </row>
    <row r="262" spans="1:1" x14ac:dyDescent="0.35">
      <c r="A262" s="11">
        <v>44867</v>
      </c>
    </row>
    <row r="263" spans="1:1" x14ac:dyDescent="0.35">
      <c r="A263" s="11">
        <v>44880</v>
      </c>
    </row>
    <row r="264" spans="1:1" x14ac:dyDescent="0.35">
      <c r="A264" s="11">
        <v>44920</v>
      </c>
    </row>
    <row r="265" spans="1:1" x14ac:dyDescent="0.35">
      <c r="A265" s="9">
        <v>44927</v>
      </c>
    </row>
    <row r="266" spans="1:1" x14ac:dyDescent="0.35">
      <c r="A266" s="9">
        <v>44977</v>
      </c>
    </row>
    <row r="267" spans="1:1" x14ac:dyDescent="0.35">
      <c r="A267" s="9">
        <v>44978</v>
      </c>
    </row>
    <row r="268" spans="1:1" x14ac:dyDescent="0.35">
      <c r="A268" s="9">
        <v>45023</v>
      </c>
    </row>
    <row r="269" spans="1:1" x14ac:dyDescent="0.35">
      <c r="A269" s="9">
        <v>45037</v>
      </c>
    </row>
    <row r="270" spans="1:1" x14ac:dyDescent="0.35">
      <c r="A270" s="9">
        <v>45047</v>
      </c>
    </row>
    <row r="271" spans="1:1" x14ac:dyDescent="0.35">
      <c r="A271" s="9">
        <v>45085</v>
      </c>
    </row>
    <row r="272" spans="1:1" x14ac:dyDescent="0.35">
      <c r="A272" s="9">
        <v>45176</v>
      </c>
    </row>
    <row r="273" spans="1:1" x14ac:dyDescent="0.35">
      <c r="A273" s="9">
        <v>45211</v>
      </c>
    </row>
    <row r="274" spans="1:1" x14ac:dyDescent="0.35">
      <c r="A274" s="9">
        <v>45232</v>
      </c>
    </row>
    <row r="275" spans="1:1" x14ac:dyDescent="0.35">
      <c r="A275" s="9">
        <v>45245</v>
      </c>
    </row>
    <row r="276" spans="1:1" x14ac:dyDescent="0.35">
      <c r="A276" s="9">
        <v>45285</v>
      </c>
    </row>
    <row r="277" spans="1:1" x14ac:dyDescent="0.35">
      <c r="A277" s="11">
        <v>45292</v>
      </c>
    </row>
    <row r="278" spans="1:1" x14ac:dyDescent="0.35">
      <c r="A278" s="11">
        <v>45334</v>
      </c>
    </row>
    <row r="279" spans="1:1" x14ac:dyDescent="0.35">
      <c r="A279" s="11">
        <v>45335</v>
      </c>
    </row>
    <row r="280" spans="1:1" x14ac:dyDescent="0.35">
      <c r="A280" s="11">
        <v>45380</v>
      </c>
    </row>
    <row r="281" spans="1:1" x14ac:dyDescent="0.35">
      <c r="A281" s="11">
        <v>45403</v>
      </c>
    </row>
    <row r="282" spans="1:1" x14ac:dyDescent="0.35">
      <c r="A282" s="11">
        <v>45413</v>
      </c>
    </row>
    <row r="283" spans="1:1" x14ac:dyDescent="0.35">
      <c r="A283" s="11">
        <v>45442</v>
      </c>
    </row>
    <row r="284" spans="1:1" x14ac:dyDescent="0.35">
      <c r="A284" s="11">
        <v>45542</v>
      </c>
    </row>
    <row r="285" spans="1:1" x14ac:dyDescent="0.35">
      <c r="A285" s="11">
        <v>45577</v>
      </c>
    </row>
    <row r="286" spans="1:1" x14ac:dyDescent="0.35">
      <c r="A286" s="11">
        <v>45598</v>
      </c>
    </row>
    <row r="287" spans="1:1" x14ac:dyDescent="0.35">
      <c r="A287" s="11">
        <v>45611</v>
      </c>
    </row>
    <row r="288" spans="1:1" x14ac:dyDescent="0.35">
      <c r="A288" s="11">
        <v>45616</v>
      </c>
    </row>
    <row r="289" spans="1:1" x14ac:dyDescent="0.35">
      <c r="A289" s="11">
        <v>45651</v>
      </c>
    </row>
    <row r="290" spans="1:1" x14ac:dyDescent="0.35">
      <c r="A290" s="9">
        <v>45658</v>
      </c>
    </row>
    <row r="291" spans="1:1" x14ac:dyDescent="0.35">
      <c r="A291" s="9">
        <v>45719</v>
      </c>
    </row>
    <row r="292" spans="1:1" x14ac:dyDescent="0.35">
      <c r="A292" s="9">
        <v>45720</v>
      </c>
    </row>
    <row r="293" spans="1:1" x14ac:dyDescent="0.35">
      <c r="A293" s="9">
        <v>45765</v>
      </c>
    </row>
    <row r="294" spans="1:1" x14ac:dyDescent="0.35">
      <c r="A294" s="9">
        <v>45768</v>
      </c>
    </row>
    <row r="295" spans="1:1" x14ac:dyDescent="0.35">
      <c r="A295" s="9">
        <v>45778</v>
      </c>
    </row>
    <row r="296" spans="1:1" x14ac:dyDescent="0.35">
      <c r="A296" s="9">
        <v>45827</v>
      </c>
    </row>
    <row r="297" spans="1:1" x14ac:dyDescent="0.35">
      <c r="A297" s="9">
        <v>45907</v>
      </c>
    </row>
    <row r="298" spans="1:1" x14ac:dyDescent="0.35">
      <c r="A298" s="9">
        <v>45942</v>
      </c>
    </row>
    <row r="299" spans="1:1" x14ac:dyDescent="0.35">
      <c r="A299" s="9">
        <v>45963</v>
      </c>
    </row>
    <row r="300" spans="1:1" x14ac:dyDescent="0.35">
      <c r="A300" s="9">
        <v>45976</v>
      </c>
    </row>
    <row r="301" spans="1:1" x14ac:dyDescent="0.35">
      <c r="A301" s="9">
        <v>45981</v>
      </c>
    </row>
    <row r="302" spans="1:1" x14ac:dyDescent="0.35">
      <c r="A302" s="9">
        <v>46016</v>
      </c>
    </row>
    <row r="303" spans="1:1" x14ac:dyDescent="0.35">
      <c r="A303" s="11">
        <v>46023</v>
      </c>
    </row>
    <row r="304" spans="1:1" x14ac:dyDescent="0.35">
      <c r="A304" s="11">
        <v>46069</v>
      </c>
    </row>
    <row r="305" spans="1:1" x14ac:dyDescent="0.35">
      <c r="A305" s="11">
        <v>46070</v>
      </c>
    </row>
    <row r="306" spans="1:1" x14ac:dyDescent="0.35">
      <c r="A306" s="11">
        <v>46115</v>
      </c>
    </row>
    <row r="307" spans="1:1" x14ac:dyDescent="0.35">
      <c r="A307" s="11">
        <v>46133</v>
      </c>
    </row>
    <row r="308" spans="1:1" x14ac:dyDescent="0.35">
      <c r="A308" s="11">
        <v>46143</v>
      </c>
    </row>
    <row r="309" spans="1:1" x14ac:dyDescent="0.35">
      <c r="A309" s="11">
        <v>46177</v>
      </c>
    </row>
    <row r="310" spans="1:1" x14ac:dyDescent="0.35">
      <c r="A310" s="11">
        <v>46272</v>
      </c>
    </row>
    <row r="311" spans="1:1" x14ac:dyDescent="0.35">
      <c r="A311" s="11">
        <v>46307</v>
      </c>
    </row>
    <row r="312" spans="1:1" x14ac:dyDescent="0.35">
      <c r="A312" s="11">
        <v>46328</v>
      </c>
    </row>
    <row r="313" spans="1:1" x14ac:dyDescent="0.35">
      <c r="A313" s="11">
        <v>46341</v>
      </c>
    </row>
    <row r="314" spans="1:1" x14ac:dyDescent="0.35">
      <c r="A314" s="11">
        <v>46346</v>
      </c>
    </row>
    <row r="315" spans="1:1" x14ac:dyDescent="0.35">
      <c r="A315" s="11">
        <v>46381</v>
      </c>
    </row>
    <row r="316" spans="1:1" x14ac:dyDescent="0.35">
      <c r="A316" s="9">
        <v>46388</v>
      </c>
    </row>
    <row r="317" spans="1:1" x14ac:dyDescent="0.35">
      <c r="A317" s="9">
        <v>46426</v>
      </c>
    </row>
    <row r="318" spans="1:1" x14ac:dyDescent="0.35">
      <c r="A318" s="9">
        <v>46427</v>
      </c>
    </row>
    <row r="319" spans="1:1" x14ac:dyDescent="0.35">
      <c r="A319" s="9">
        <v>46472</v>
      </c>
    </row>
    <row r="320" spans="1:1" x14ac:dyDescent="0.35">
      <c r="A320" s="9">
        <v>46498</v>
      </c>
    </row>
    <row r="321" spans="1:1" x14ac:dyDescent="0.35">
      <c r="A321" s="9">
        <v>46508</v>
      </c>
    </row>
    <row r="322" spans="1:1" x14ac:dyDescent="0.35">
      <c r="A322" s="9">
        <v>46534</v>
      </c>
    </row>
    <row r="323" spans="1:1" x14ac:dyDescent="0.35">
      <c r="A323" s="9">
        <v>46637</v>
      </c>
    </row>
    <row r="324" spans="1:1" x14ac:dyDescent="0.35">
      <c r="A324" s="9">
        <v>46672</v>
      </c>
    </row>
    <row r="325" spans="1:1" x14ac:dyDescent="0.35">
      <c r="A325" s="9">
        <v>46693</v>
      </c>
    </row>
    <row r="326" spans="1:1" x14ac:dyDescent="0.35">
      <c r="A326" s="9">
        <v>46706</v>
      </c>
    </row>
    <row r="327" spans="1:1" x14ac:dyDescent="0.35">
      <c r="A327" s="9">
        <v>46711</v>
      </c>
    </row>
    <row r="328" spans="1:1" x14ac:dyDescent="0.35">
      <c r="A328" s="9">
        <v>46746</v>
      </c>
    </row>
    <row r="329" spans="1:1" x14ac:dyDescent="0.35">
      <c r="A329" s="11">
        <v>46753</v>
      </c>
    </row>
    <row r="330" spans="1:1" x14ac:dyDescent="0.35">
      <c r="A330" s="11">
        <v>46811</v>
      </c>
    </row>
    <row r="331" spans="1:1" x14ac:dyDescent="0.35">
      <c r="A331" s="11">
        <v>46812</v>
      </c>
    </row>
    <row r="332" spans="1:1" x14ac:dyDescent="0.35">
      <c r="A332" s="11">
        <v>46857</v>
      </c>
    </row>
    <row r="333" spans="1:1" x14ac:dyDescent="0.35">
      <c r="A333" s="11">
        <v>46864</v>
      </c>
    </row>
    <row r="334" spans="1:1" x14ac:dyDescent="0.35">
      <c r="A334" s="11">
        <v>46874</v>
      </c>
    </row>
    <row r="335" spans="1:1" x14ac:dyDescent="0.35">
      <c r="A335" s="11">
        <v>46919</v>
      </c>
    </row>
    <row r="336" spans="1:1" x14ac:dyDescent="0.35">
      <c r="A336" s="11">
        <v>47003</v>
      </c>
    </row>
    <row r="337" spans="1:1" x14ac:dyDescent="0.35">
      <c r="A337" s="11">
        <v>47038</v>
      </c>
    </row>
    <row r="338" spans="1:1" x14ac:dyDescent="0.35">
      <c r="A338" s="11">
        <v>47059</v>
      </c>
    </row>
    <row r="339" spans="1:1" x14ac:dyDescent="0.35">
      <c r="A339" s="11">
        <v>47072</v>
      </c>
    </row>
    <row r="340" spans="1:1" x14ac:dyDescent="0.35">
      <c r="A340" s="11">
        <v>47077</v>
      </c>
    </row>
    <row r="341" spans="1:1" x14ac:dyDescent="0.35">
      <c r="A341" s="11">
        <v>47112</v>
      </c>
    </row>
    <row r="342" spans="1:1" x14ac:dyDescent="0.35">
      <c r="A342" s="9">
        <v>47119</v>
      </c>
    </row>
    <row r="343" spans="1:1" x14ac:dyDescent="0.35">
      <c r="A343" s="9">
        <v>47161</v>
      </c>
    </row>
    <row r="344" spans="1:1" x14ac:dyDescent="0.35">
      <c r="A344" s="9">
        <v>47162</v>
      </c>
    </row>
    <row r="345" spans="1:1" x14ac:dyDescent="0.35">
      <c r="A345" s="9">
        <v>47207</v>
      </c>
    </row>
    <row r="346" spans="1:1" x14ac:dyDescent="0.35">
      <c r="A346" s="9">
        <v>47229</v>
      </c>
    </row>
    <row r="347" spans="1:1" x14ac:dyDescent="0.35">
      <c r="A347" s="9">
        <v>47239</v>
      </c>
    </row>
    <row r="348" spans="1:1" x14ac:dyDescent="0.35">
      <c r="A348" s="9">
        <v>47269</v>
      </c>
    </row>
    <row r="349" spans="1:1" x14ac:dyDescent="0.35">
      <c r="A349" s="9">
        <v>47368</v>
      </c>
    </row>
    <row r="350" spans="1:1" x14ac:dyDescent="0.35">
      <c r="A350" s="9">
        <v>47403</v>
      </c>
    </row>
    <row r="351" spans="1:1" x14ac:dyDescent="0.35">
      <c r="A351" s="9">
        <v>47424</v>
      </c>
    </row>
    <row r="352" spans="1:1" x14ac:dyDescent="0.35">
      <c r="A352" s="9">
        <v>47437</v>
      </c>
    </row>
    <row r="353" spans="1:1" x14ac:dyDescent="0.35">
      <c r="A353" s="9">
        <v>47442</v>
      </c>
    </row>
    <row r="354" spans="1:1" x14ac:dyDescent="0.35">
      <c r="A354" s="9">
        <v>47477</v>
      </c>
    </row>
    <row r="355" spans="1:1" x14ac:dyDescent="0.35">
      <c r="A355" s="11">
        <v>47484</v>
      </c>
    </row>
    <row r="356" spans="1:1" x14ac:dyDescent="0.35">
      <c r="A356" s="11">
        <v>47546</v>
      </c>
    </row>
    <row r="357" spans="1:1" x14ac:dyDescent="0.35">
      <c r="A357" s="11">
        <v>47547</v>
      </c>
    </row>
    <row r="358" spans="1:1" x14ac:dyDescent="0.35">
      <c r="A358" s="11">
        <v>47592</v>
      </c>
    </row>
    <row r="359" spans="1:1" x14ac:dyDescent="0.35">
      <c r="A359" s="11">
        <v>47594</v>
      </c>
    </row>
    <row r="360" spans="1:1" x14ac:dyDescent="0.35">
      <c r="A360" s="11">
        <v>47604</v>
      </c>
    </row>
    <row r="361" spans="1:1" x14ac:dyDescent="0.35">
      <c r="A361" s="11">
        <v>47654</v>
      </c>
    </row>
    <row r="362" spans="1:1" x14ac:dyDescent="0.35">
      <c r="A362" s="11">
        <v>47733</v>
      </c>
    </row>
    <row r="363" spans="1:1" x14ac:dyDescent="0.35">
      <c r="A363" s="11">
        <v>47768</v>
      </c>
    </row>
    <row r="364" spans="1:1" x14ac:dyDescent="0.35">
      <c r="A364" s="11">
        <v>47789</v>
      </c>
    </row>
    <row r="365" spans="1:1" x14ac:dyDescent="0.35">
      <c r="A365" s="11">
        <v>47802</v>
      </c>
    </row>
    <row r="366" spans="1:1" x14ac:dyDescent="0.35">
      <c r="A366" s="11">
        <v>47807</v>
      </c>
    </row>
    <row r="367" spans="1:1" x14ac:dyDescent="0.35">
      <c r="A367" s="11">
        <v>47842</v>
      </c>
    </row>
    <row r="368" spans="1:1" x14ac:dyDescent="0.35">
      <c r="A368" s="9">
        <v>47849</v>
      </c>
    </row>
    <row r="369" spans="1:1" x14ac:dyDescent="0.35">
      <c r="A369" s="9">
        <v>47903</v>
      </c>
    </row>
    <row r="370" spans="1:1" x14ac:dyDescent="0.35">
      <c r="A370" s="9">
        <v>47904</v>
      </c>
    </row>
    <row r="371" spans="1:1" x14ac:dyDescent="0.35">
      <c r="A371" s="9">
        <v>47949</v>
      </c>
    </row>
    <row r="372" spans="1:1" x14ac:dyDescent="0.35">
      <c r="A372" s="9">
        <v>47959</v>
      </c>
    </row>
    <row r="373" spans="1:1" x14ac:dyDescent="0.35">
      <c r="A373" s="9">
        <v>47969</v>
      </c>
    </row>
    <row r="374" spans="1:1" x14ac:dyDescent="0.35">
      <c r="A374" s="9">
        <v>48011</v>
      </c>
    </row>
    <row r="375" spans="1:1" x14ac:dyDescent="0.35">
      <c r="A375" s="9">
        <v>48098</v>
      </c>
    </row>
    <row r="376" spans="1:1" x14ac:dyDescent="0.35">
      <c r="A376" s="9">
        <v>48133</v>
      </c>
    </row>
    <row r="377" spans="1:1" x14ac:dyDescent="0.35">
      <c r="A377" s="9">
        <v>48154</v>
      </c>
    </row>
    <row r="378" spans="1:1" x14ac:dyDescent="0.35">
      <c r="A378" s="9">
        <v>48167</v>
      </c>
    </row>
    <row r="379" spans="1:1" x14ac:dyDescent="0.35">
      <c r="A379" s="9">
        <v>48172</v>
      </c>
    </row>
    <row r="380" spans="1:1" x14ac:dyDescent="0.35">
      <c r="A380" s="9">
        <v>48207</v>
      </c>
    </row>
    <row r="381" spans="1:1" x14ac:dyDescent="0.35">
      <c r="A381" s="11">
        <v>48214</v>
      </c>
    </row>
    <row r="382" spans="1:1" x14ac:dyDescent="0.35">
      <c r="A382" s="11">
        <v>48253</v>
      </c>
    </row>
    <row r="383" spans="1:1" x14ac:dyDescent="0.35">
      <c r="A383" s="11">
        <v>48254</v>
      </c>
    </row>
    <row r="384" spans="1:1" x14ac:dyDescent="0.35">
      <c r="A384" s="11">
        <v>48299</v>
      </c>
    </row>
    <row r="385" spans="1:1" x14ac:dyDescent="0.35">
      <c r="A385" s="11">
        <v>48325</v>
      </c>
    </row>
    <row r="386" spans="1:1" x14ac:dyDescent="0.35">
      <c r="A386" s="11">
        <v>48335</v>
      </c>
    </row>
    <row r="387" spans="1:1" x14ac:dyDescent="0.35">
      <c r="A387" s="11">
        <v>48361</v>
      </c>
    </row>
    <row r="388" spans="1:1" x14ac:dyDescent="0.35">
      <c r="A388" s="11">
        <v>48464</v>
      </c>
    </row>
    <row r="389" spans="1:1" x14ac:dyDescent="0.35">
      <c r="A389" s="11">
        <v>48499</v>
      </c>
    </row>
    <row r="390" spans="1:1" x14ac:dyDescent="0.35">
      <c r="A390" s="11">
        <v>48520</v>
      </c>
    </row>
    <row r="391" spans="1:1" x14ac:dyDescent="0.35">
      <c r="A391" s="11">
        <v>48533</v>
      </c>
    </row>
    <row r="392" spans="1:1" x14ac:dyDescent="0.35">
      <c r="A392" s="11">
        <v>48538</v>
      </c>
    </row>
    <row r="393" spans="1:1" x14ac:dyDescent="0.35">
      <c r="A393" s="11">
        <v>48573</v>
      </c>
    </row>
    <row r="394" spans="1:1" x14ac:dyDescent="0.35">
      <c r="A394" s="9">
        <v>48580</v>
      </c>
    </row>
    <row r="395" spans="1:1" x14ac:dyDescent="0.35">
      <c r="A395" s="9">
        <v>48638</v>
      </c>
    </row>
    <row r="396" spans="1:1" x14ac:dyDescent="0.35">
      <c r="A396" s="9">
        <v>48639</v>
      </c>
    </row>
    <row r="397" spans="1:1" x14ac:dyDescent="0.35">
      <c r="A397" s="9">
        <v>48684</v>
      </c>
    </row>
    <row r="398" spans="1:1" x14ac:dyDescent="0.35">
      <c r="A398" s="9">
        <v>48690</v>
      </c>
    </row>
    <row r="399" spans="1:1" x14ac:dyDescent="0.35">
      <c r="A399" s="9">
        <v>48700</v>
      </c>
    </row>
    <row r="400" spans="1:1" x14ac:dyDescent="0.35">
      <c r="A400" s="9">
        <v>48746</v>
      </c>
    </row>
    <row r="401" spans="1:1" x14ac:dyDescent="0.35">
      <c r="A401" s="9">
        <v>48829</v>
      </c>
    </row>
    <row r="402" spans="1:1" x14ac:dyDescent="0.35">
      <c r="A402" s="9">
        <v>48864</v>
      </c>
    </row>
    <row r="403" spans="1:1" x14ac:dyDescent="0.35">
      <c r="A403" s="9">
        <v>48885</v>
      </c>
    </row>
    <row r="404" spans="1:1" x14ac:dyDescent="0.35">
      <c r="A404" s="9">
        <v>48898</v>
      </c>
    </row>
    <row r="405" spans="1:1" x14ac:dyDescent="0.35">
      <c r="A405" s="9">
        <v>48903</v>
      </c>
    </row>
    <row r="406" spans="1:1" x14ac:dyDescent="0.35">
      <c r="A406" s="9">
        <v>48938</v>
      </c>
    </row>
    <row r="407" spans="1:1" x14ac:dyDescent="0.35">
      <c r="A407" s="11">
        <v>48945</v>
      </c>
    </row>
    <row r="408" spans="1:1" x14ac:dyDescent="0.35">
      <c r="A408" s="11">
        <v>48995</v>
      </c>
    </row>
    <row r="409" spans="1:1" x14ac:dyDescent="0.35">
      <c r="A409" s="11">
        <v>48996</v>
      </c>
    </row>
    <row r="410" spans="1:1" x14ac:dyDescent="0.35">
      <c r="A410" s="11">
        <v>49041</v>
      </c>
    </row>
    <row r="411" spans="1:1" x14ac:dyDescent="0.35">
      <c r="A411" s="11">
        <v>49055</v>
      </c>
    </row>
    <row r="412" spans="1:1" x14ac:dyDescent="0.35">
      <c r="A412" s="11">
        <v>49065</v>
      </c>
    </row>
    <row r="413" spans="1:1" x14ac:dyDescent="0.35">
      <c r="A413" s="11">
        <v>49103</v>
      </c>
    </row>
    <row r="414" spans="1:1" x14ac:dyDescent="0.35">
      <c r="A414" s="11">
        <v>49194</v>
      </c>
    </row>
    <row r="415" spans="1:1" x14ac:dyDescent="0.35">
      <c r="A415" s="11">
        <v>49229</v>
      </c>
    </row>
    <row r="416" spans="1:1" x14ac:dyDescent="0.35">
      <c r="A416" s="11">
        <v>49250</v>
      </c>
    </row>
    <row r="417" spans="1:1" x14ac:dyDescent="0.35">
      <c r="A417" s="11">
        <v>49263</v>
      </c>
    </row>
    <row r="418" spans="1:1" x14ac:dyDescent="0.35">
      <c r="A418" s="11">
        <v>49268</v>
      </c>
    </row>
    <row r="419" spans="1:1" x14ac:dyDescent="0.35">
      <c r="A419" s="11">
        <v>49303</v>
      </c>
    </row>
    <row r="420" spans="1:1" x14ac:dyDescent="0.35">
      <c r="A420" s="9">
        <v>49310</v>
      </c>
    </row>
    <row r="421" spans="1:1" x14ac:dyDescent="0.35">
      <c r="A421" s="9">
        <v>49345</v>
      </c>
    </row>
    <row r="422" spans="1:1" x14ac:dyDescent="0.35">
      <c r="A422" s="9">
        <v>49346</v>
      </c>
    </row>
    <row r="423" spans="1:1" x14ac:dyDescent="0.35">
      <c r="A423" s="9">
        <v>49391</v>
      </c>
    </row>
    <row r="424" spans="1:1" x14ac:dyDescent="0.35">
      <c r="A424" s="9">
        <v>49420</v>
      </c>
    </row>
    <row r="425" spans="1:1" x14ac:dyDescent="0.35">
      <c r="A425" s="9">
        <v>49430</v>
      </c>
    </row>
    <row r="426" spans="1:1" x14ac:dyDescent="0.35">
      <c r="A426" s="9">
        <v>49453</v>
      </c>
    </row>
    <row r="427" spans="1:1" x14ac:dyDescent="0.35">
      <c r="A427" s="9">
        <v>49559</v>
      </c>
    </row>
    <row r="428" spans="1:1" x14ac:dyDescent="0.35">
      <c r="A428" s="9">
        <v>49594</v>
      </c>
    </row>
    <row r="429" spans="1:1" x14ac:dyDescent="0.35">
      <c r="A429" s="9">
        <v>49615</v>
      </c>
    </row>
    <row r="430" spans="1:1" x14ac:dyDescent="0.35">
      <c r="A430" s="9">
        <v>49628</v>
      </c>
    </row>
    <row r="431" spans="1:1" x14ac:dyDescent="0.35">
      <c r="A431" s="9">
        <v>49633</v>
      </c>
    </row>
    <row r="432" spans="1:1" x14ac:dyDescent="0.35">
      <c r="A432" s="9">
        <v>49668</v>
      </c>
    </row>
    <row r="433" spans="1:1" x14ac:dyDescent="0.35">
      <c r="A433" s="11">
        <v>49675</v>
      </c>
    </row>
    <row r="434" spans="1:1" x14ac:dyDescent="0.35">
      <c r="A434" s="11">
        <v>49730</v>
      </c>
    </row>
    <row r="435" spans="1:1" x14ac:dyDescent="0.35">
      <c r="A435" s="11">
        <v>49731</v>
      </c>
    </row>
    <row r="436" spans="1:1" x14ac:dyDescent="0.35">
      <c r="A436" s="11">
        <v>49776</v>
      </c>
    </row>
    <row r="437" spans="1:1" x14ac:dyDescent="0.35">
      <c r="A437" s="11">
        <v>49786</v>
      </c>
    </row>
    <row r="438" spans="1:1" x14ac:dyDescent="0.35">
      <c r="A438" s="11">
        <v>49796</v>
      </c>
    </row>
    <row r="439" spans="1:1" x14ac:dyDescent="0.35">
      <c r="A439" s="11">
        <v>49838</v>
      </c>
    </row>
    <row r="440" spans="1:1" x14ac:dyDescent="0.35">
      <c r="A440" s="11">
        <v>49925</v>
      </c>
    </row>
    <row r="441" spans="1:1" x14ac:dyDescent="0.35">
      <c r="A441" s="11">
        <v>49960</v>
      </c>
    </row>
    <row r="442" spans="1:1" x14ac:dyDescent="0.35">
      <c r="A442" s="11">
        <v>49981</v>
      </c>
    </row>
    <row r="443" spans="1:1" x14ac:dyDescent="0.35">
      <c r="A443" s="11">
        <v>49994</v>
      </c>
    </row>
    <row r="444" spans="1:1" x14ac:dyDescent="0.35">
      <c r="A444" s="11">
        <v>49999</v>
      </c>
    </row>
    <row r="445" spans="1:1" x14ac:dyDescent="0.35">
      <c r="A445" s="11">
        <v>50034</v>
      </c>
    </row>
    <row r="446" spans="1:1" x14ac:dyDescent="0.35">
      <c r="A446" s="9">
        <v>50041</v>
      </c>
    </row>
    <row r="447" spans="1:1" x14ac:dyDescent="0.35">
      <c r="A447" s="9">
        <v>50087</v>
      </c>
    </row>
    <row r="448" spans="1:1" x14ac:dyDescent="0.35">
      <c r="A448" s="9">
        <v>50088</v>
      </c>
    </row>
    <row r="449" spans="1:1" x14ac:dyDescent="0.35">
      <c r="A449" s="9">
        <v>50133</v>
      </c>
    </row>
    <row r="450" spans="1:1" x14ac:dyDescent="0.35">
      <c r="A450" s="9">
        <v>50151</v>
      </c>
    </row>
    <row r="451" spans="1:1" x14ac:dyDescent="0.35">
      <c r="A451" s="9">
        <v>50161</v>
      </c>
    </row>
    <row r="452" spans="1:1" x14ac:dyDescent="0.35">
      <c r="A452" s="9">
        <v>50195</v>
      </c>
    </row>
    <row r="453" spans="1:1" x14ac:dyDescent="0.35">
      <c r="A453" s="9">
        <v>50290</v>
      </c>
    </row>
    <row r="454" spans="1:1" x14ac:dyDescent="0.35">
      <c r="A454" s="9">
        <v>50325</v>
      </c>
    </row>
    <row r="455" spans="1:1" x14ac:dyDescent="0.35">
      <c r="A455" s="9">
        <v>50346</v>
      </c>
    </row>
    <row r="456" spans="1:1" x14ac:dyDescent="0.35">
      <c r="A456" s="9">
        <v>50359</v>
      </c>
    </row>
    <row r="457" spans="1:1" x14ac:dyDescent="0.35">
      <c r="A457" s="9">
        <v>50364</v>
      </c>
    </row>
    <row r="458" spans="1:1" x14ac:dyDescent="0.35">
      <c r="A458" s="9">
        <v>50399</v>
      </c>
    </row>
    <row r="459" spans="1:1" x14ac:dyDescent="0.35">
      <c r="A459" s="11">
        <v>50406</v>
      </c>
    </row>
    <row r="460" spans="1:1" x14ac:dyDescent="0.35">
      <c r="A460" s="11">
        <v>50472</v>
      </c>
    </row>
    <row r="461" spans="1:1" x14ac:dyDescent="0.35">
      <c r="A461" s="11">
        <v>50473</v>
      </c>
    </row>
    <row r="462" spans="1:1" x14ac:dyDescent="0.35">
      <c r="A462" s="11">
        <v>50516</v>
      </c>
    </row>
    <row r="463" spans="1:1" x14ac:dyDescent="0.35">
      <c r="A463" s="11">
        <v>50518</v>
      </c>
    </row>
    <row r="464" spans="1:1" x14ac:dyDescent="0.35">
      <c r="A464" s="11">
        <v>50526</v>
      </c>
    </row>
    <row r="465" spans="1:1" x14ac:dyDescent="0.35">
      <c r="A465" s="11">
        <v>50580</v>
      </c>
    </row>
    <row r="466" spans="1:1" x14ac:dyDescent="0.35">
      <c r="A466" s="11">
        <v>50655</v>
      </c>
    </row>
    <row r="467" spans="1:1" x14ac:dyDescent="0.35">
      <c r="A467" s="11">
        <v>50690</v>
      </c>
    </row>
    <row r="468" spans="1:1" x14ac:dyDescent="0.35">
      <c r="A468" s="11">
        <v>50711</v>
      </c>
    </row>
    <row r="469" spans="1:1" x14ac:dyDescent="0.35">
      <c r="A469" s="11">
        <v>50724</v>
      </c>
    </row>
    <row r="470" spans="1:1" x14ac:dyDescent="0.35">
      <c r="A470" s="11">
        <v>50729</v>
      </c>
    </row>
    <row r="471" spans="1:1" x14ac:dyDescent="0.35">
      <c r="A471" s="11">
        <v>50764</v>
      </c>
    </row>
    <row r="472" spans="1:1" x14ac:dyDescent="0.35">
      <c r="A472" s="9">
        <v>50771</v>
      </c>
    </row>
    <row r="473" spans="1:1" x14ac:dyDescent="0.35">
      <c r="A473" s="9">
        <v>50822</v>
      </c>
    </row>
    <row r="474" spans="1:1" x14ac:dyDescent="0.35">
      <c r="A474" s="9">
        <v>50823</v>
      </c>
    </row>
    <row r="475" spans="1:1" x14ac:dyDescent="0.35">
      <c r="A475" s="9">
        <v>50868</v>
      </c>
    </row>
    <row r="476" spans="1:1" x14ac:dyDescent="0.35">
      <c r="A476" s="9">
        <v>50881</v>
      </c>
    </row>
    <row r="477" spans="1:1" x14ac:dyDescent="0.35">
      <c r="A477" s="9">
        <v>50891</v>
      </c>
    </row>
    <row r="478" spans="1:1" x14ac:dyDescent="0.35">
      <c r="A478" s="9">
        <v>50930</v>
      </c>
    </row>
    <row r="479" spans="1:1" x14ac:dyDescent="0.35">
      <c r="A479" s="9">
        <v>51020</v>
      </c>
    </row>
    <row r="480" spans="1:1" x14ac:dyDescent="0.35">
      <c r="A480" s="9">
        <v>51055</v>
      </c>
    </row>
    <row r="481" spans="1:1" x14ac:dyDescent="0.35">
      <c r="A481" s="9">
        <v>51076</v>
      </c>
    </row>
    <row r="482" spans="1:1" x14ac:dyDescent="0.35">
      <c r="A482" s="9">
        <v>51089</v>
      </c>
    </row>
    <row r="483" spans="1:1" x14ac:dyDescent="0.35">
      <c r="A483" s="9">
        <v>51094</v>
      </c>
    </row>
    <row r="484" spans="1:1" x14ac:dyDescent="0.35">
      <c r="A484" s="9">
        <v>51129</v>
      </c>
    </row>
    <row r="485" spans="1:1" x14ac:dyDescent="0.35">
      <c r="A485" s="11">
        <v>51136</v>
      </c>
    </row>
    <row r="486" spans="1:1" x14ac:dyDescent="0.35">
      <c r="A486" s="11">
        <v>51179</v>
      </c>
    </row>
    <row r="487" spans="1:1" x14ac:dyDescent="0.35">
      <c r="A487" s="11">
        <v>51180</v>
      </c>
    </row>
    <row r="488" spans="1:1" x14ac:dyDescent="0.35">
      <c r="A488" s="11">
        <v>51225</v>
      </c>
    </row>
    <row r="489" spans="1:1" x14ac:dyDescent="0.35">
      <c r="A489" s="11">
        <v>51247</v>
      </c>
    </row>
    <row r="490" spans="1:1" x14ac:dyDescent="0.35">
      <c r="A490" s="11">
        <v>51257</v>
      </c>
    </row>
    <row r="491" spans="1:1" x14ac:dyDescent="0.35">
      <c r="A491" s="11">
        <v>51287</v>
      </c>
    </row>
    <row r="492" spans="1:1" x14ac:dyDescent="0.35">
      <c r="A492" s="11">
        <v>51386</v>
      </c>
    </row>
    <row r="493" spans="1:1" x14ac:dyDescent="0.35">
      <c r="A493" s="11">
        <v>51421</v>
      </c>
    </row>
    <row r="494" spans="1:1" x14ac:dyDescent="0.35">
      <c r="A494" s="11">
        <v>51442</v>
      </c>
    </row>
    <row r="495" spans="1:1" x14ac:dyDescent="0.35">
      <c r="A495" s="11">
        <v>51455</v>
      </c>
    </row>
    <row r="496" spans="1:1" x14ac:dyDescent="0.35">
      <c r="A496" s="11">
        <v>51460</v>
      </c>
    </row>
    <row r="497" spans="1:1" x14ac:dyDescent="0.35">
      <c r="A497" s="11">
        <v>51495</v>
      </c>
    </row>
    <row r="498" spans="1:1" x14ac:dyDescent="0.35">
      <c r="A498" s="9">
        <v>51502</v>
      </c>
    </row>
    <row r="499" spans="1:1" x14ac:dyDescent="0.35">
      <c r="A499" s="9">
        <v>51564</v>
      </c>
    </row>
    <row r="500" spans="1:1" x14ac:dyDescent="0.35">
      <c r="A500" s="9">
        <v>51565</v>
      </c>
    </row>
    <row r="501" spans="1:1" x14ac:dyDescent="0.35">
      <c r="A501" s="9">
        <v>51610</v>
      </c>
    </row>
    <row r="502" spans="1:1" x14ac:dyDescent="0.35">
      <c r="A502" s="9">
        <v>51612</v>
      </c>
    </row>
    <row r="503" spans="1:1" x14ac:dyDescent="0.35">
      <c r="A503" s="9">
        <v>51622</v>
      </c>
    </row>
    <row r="504" spans="1:1" x14ac:dyDescent="0.35">
      <c r="A504" s="9">
        <v>51672</v>
      </c>
    </row>
    <row r="505" spans="1:1" x14ac:dyDescent="0.35">
      <c r="A505" s="9">
        <v>51751</v>
      </c>
    </row>
    <row r="506" spans="1:1" x14ac:dyDescent="0.35">
      <c r="A506" s="9">
        <v>51786</v>
      </c>
    </row>
    <row r="507" spans="1:1" x14ac:dyDescent="0.35">
      <c r="A507" s="9">
        <v>51807</v>
      </c>
    </row>
    <row r="508" spans="1:1" x14ac:dyDescent="0.35">
      <c r="A508" s="9">
        <v>51820</v>
      </c>
    </row>
    <row r="509" spans="1:1" x14ac:dyDescent="0.35">
      <c r="A509" s="9">
        <v>51825</v>
      </c>
    </row>
    <row r="510" spans="1:1" x14ac:dyDescent="0.35">
      <c r="A510" s="9">
        <v>51860</v>
      </c>
    </row>
    <row r="511" spans="1:1" x14ac:dyDescent="0.35">
      <c r="A511" s="11">
        <v>51867</v>
      </c>
    </row>
    <row r="512" spans="1:1" x14ac:dyDescent="0.35">
      <c r="A512" s="11">
        <v>51914</v>
      </c>
    </row>
    <row r="513" spans="1:1" x14ac:dyDescent="0.35">
      <c r="A513" s="11">
        <v>51915</v>
      </c>
    </row>
    <row r="514" spans="1:1" x14ac:dyDescent="0.35">
      <c r="A514" s="11">
        <v>51960</v>
      </c>
    </row>
    <row r="515" spans="1:1" x14ac:dyDescent="0.35">
      <c r="A515" s="11">
        <v>51977</v>
      </c>
    </row>
    <row r="516" spans="1:1" x14ac:dyDescent="0.35">
      <c r="A516" s="11">
        <v>51987</v>
      </c>
    </row>
    <row r="517" spans="1:1" x14ac:dyDescent="0.35">
      <c r="A517" s="11">
        <v>52022</v>
      </c>
    </row>
    <row r="518" spans="1:1" x14ac:dyDescent="0.35">
      <c r="A518" s="11">
        <v>52116</v>
      </c>
    </row>
    <row r="519" spans="1:1" x14ac:dyDescent="0.35">
      <c r="A519" s="11">
        <v>52151</v>
      </c>
    </row>
    <row r="520" spans="1:1" x14ac:dyDescent="0.35">
      <c r="A520" s="11">
        <v>52172</v>
      </c>
    </row>
    <row r="521" spans="1:1" x14ac:dyDescent="0.35">
      <c r="A521" s="11">
        <v>52185</v>
      </c>
    </row>
    <row r="522" spans="1:1" x14ac:dyDescent="0.35">
      <c r="A522" s="11">
        <v>52190</v>
      </c>
    </row>
    <row r="523" spans="1:1" x14ac:dyDescent="0.35">
      <c r="A523" s="11">
        <v>52225</v>
      </c>
    </row>
    <row r="524" spans="1:1" x14ac:dyDescent="0.35">
      <c r="A524" s="9">
        <v>52232</v>
      </c>
    </row>
    <row r="525" spans="1:1" x14ac:dyDescent="0.35">
      <c r="A525" s="9">
        <v>52271</v>
      </c>
    </row>
    <row r="526" spans="1:1" x14ac:dyDescent="0.35">
      <c r="A526" s="9">
        <v>52272</v>
      </c>
    </row>
    <row r="527" spans="1:1" x14ac:dyDescent="0.35">
      <c r="A527" s="9">
        <v>52317</v>
      </c>
    </row>
    <row r="528" spans="1:1" x14ac:dyDescent="0.35">
      <c r="A528" s="9">
        <v>52342</v>
      </c>
    </row>
    <row r="529" spans="1:1" x14ac:dyDescent="0.35">
      <c r="A529" s="9">
        <v>52352</v>
      </c>
    </row>
    <row r="530" spans="1:1" x14ac:dyDescent="0.35">
      <c r="A530" s="9">
        <v>52379</v>
      </c>
    </row>
    <row r="531" spans="1:1" x14ac:dyDescent="0.35">
      <c r="A531" s="9">
        <v>52481</v>
      </c>
    </row>
    <row r="532" spans="1:1" x14ac:dyDescent="0.35">
      <c r="A532" s="9">
        <v>52516</v>
      </c>
    </row>
    <row r="533" spans="1:1" x14ac:dyDescent="0.35">
      <c r="A533" s="9">
        <v>52537</v>
      </c>
    </row>
    <row r="534" spans="1:1" x14ac:dyDescent="0.35">
      <c r="A534" s="9">
        <v>52550</v>
      </c>
    </row>
    <row r="535" spans="1:1" x14ac:dyDescent="0.35">
      <c r="A535" s="9">
        <v>52555</v>
      </c>
    </row>
    <row r="536" spans="1:1" x14ac:dyDescent="0.35">
      <c r="A536" s="9">
        <v>52590</v>
      </c>
    </row>
    <row r="537" spans="1:1" x14ac:dyDescent="0.35">
      <c r="A537" s="11">
        <v>52597</v>
      </c>
    </row>
    <row r="538" spans="1:1" x14ac:dyDescent="0.35">
      <c r="A538" s="11">
        <v>52656</v>
      </c>
    </row>
    <row r="539" spans="1:1" x14ac:dyDescent="0.35">
      <c r="A539" s="11">
        <v>52657</v>
      </c>
    </row>
    <row r="540" spans="1:1" x14ac:dyDescent="0.35">
      <c r="A540" s="11">
        <v>52702</v>
      </c>
    </row>
    <row r="541" spans="1:1" x14ac:dyDescent="0.35">
      <c r="A541" s="11">
        <v>52708</v>
      </c>
    </row>
    <row r="542" spans="1:1" x14ac:dyDescent="0.35">
      <c r="A542" s="11">
        <v>52718</v>
      </c>
    </row>
    <row r="543" spans="1:1" x14ac:dyDescent="0.35">
      <c r="A543" s="11">
        <v>52764</v>
      </c>
    </row>
    <row r="544" spans="1:1" x14ac:dyDescent="0.35">
      <c r="A544" s="11">
        <v>52847</v>
      </c>
    </row>
    <row r="545" spans="1:1" x14ac:dyDescent="0.35">
      <c r="A545" s="11">
        <v>52882</v>
      </c>
    </row>
    <row r="546" spans="1:1" x14ac:dyDescent="0.35">
      <c r="A546" s="11">
        <v>52903</v>
      </c>
    </row>
    <row r="547" spans="1:1" x14ac:dyDescent="0.35">
      <c r="A547" s="11">
        <v>52916</v>
      </c>
    </row>
    <row r="548" spans="1:1" x14ac:dyDescent="0.35">
      <c r="A548" s="11">
        <v>52921</v>
      </c>
    </row>
    <row r="549" spans="1:1" x14ac:dyDescent="0.35">
      <c r="A549" s="11">
        <v>52956</v>
      </c>
    </row>
    <row r="550" spans="1:1" x14ac:dyDescent="0.35">
      <c r="A550" s="9">
        <v>52963</v>
      </c>
    </row>
    <row r="551" spans="1:1" x14ac:dyDescent="0.35">
      <c r="A551" s="9">
        <v>53013</v>
      </c>
    </row>
    <row r="552" spans="1:1" x14ac:dyDescent="0.35">
      <c r="A552" s="9">
        <v>53014</v>
      </c>
    </row>
    <row r="553" spans="1:1" x14ac:dyDescent="0.35">
      <c r="A553" s="9">
        <v>53059</v>
      </c>
    </row>
    <row r="554" spans="1:1" x14ac:dyDescent="0.35">
      <c r="A554" s="9">
        <v>53073</v>
      </c>
    </row>
    <row r="555" spans="1:1" x14ac:dyDescent="0.35">
      <c r="A555" s="9">
        <v>53083</v>
      </c>
    </row>
    <row r="556" spans="1:1" x14ac:dyDescent="0.35">
      <c r="A556" s="9">
        <v>53121</v>
      </c>
    </row>
    <row r="557" spans="1:1" x14ac:dyDescent="0.35">
      <c r="A557" s="9">
        <v>53212</v>
      </c>
    </row>
    <row r="558" spans="1:1" x14ac:dyDescent="0.35">
      <c r="A558" s="9">
        <v>53247</v>
      </c>
    </row>
    <row r="559" spans="1:1" x14ac:dyDescent="0.35">
      <c r="A559" s="9">
        <v>53268</v>
      </c>
    </row>
    <row r="560" spans="1:1" x14ac:dyDescent="0.35">
      <c r="A560" s="9">
        <v>53281</v>
      </c>
    </row>
    <row r="561" spans="1:1" x14ac:dyDescent="0.35">
      <c r="A561" s="9">
        <v>53286</v>
      </c>
    </row>
    <row r="562" spans="1:1" x14ac:dyDescent="0.35">
      <c r="A562" s="9">
        <v>53321</v>
      </c>
    </row>
    <row r="563" spans="1:1" x14ac:dyDescent="0.35">
      <c r="A563" s="11">
        <v>53328</v>
      </c>
    </row>
    <row r="564" spans="1:1" x14ac:dyDescent="0.35">
      <c r="A564" s="11">
        <v>53363</v>
      </c>
    </row>
    <row r="565" spans="1:1" x14ac:dyDescent="0.35">
      <c r="A565" s="11">
        <v>53364</v>
      </c>
    </row>
    <row r="566" spans="1:1" x14ac:dyDescent="0.35">
      <c r="A566" s="11">
        <v>53409</v>
      </c>
    </row>
    <row r="567" spans="1:1" x14ac:dyDescent="0.35">
      <c r="A567" s="11">
        <v>53438</v>
      </c>
    </row>
    <row r="568" spans="1:1" x14ac:dyDescent="0.35">
      <c r="A568" s="11">
        <v>53448</v>
      </c>
    </row>
    <row r="569" spans="1:1" x14ac:dyDescent="0.35">
      <c r="A569" s="11">
        <v>53471</v>
      </c>
    </row>
    <row r="570" spans="1:1" x14ac:dyDescent="0.35">
      <c r="A570" s="11">
        <v>53577</v>
      </c>
    </row>
    <row r="571" spans="1:1" x14ac:dyDescent="0.35">
      <c r="A571" s="11">
        <v>53612</v>
      </c>
    </row>
    <row r="572" spans="1:1" x14ac:dyDescent="0.35">
      <c r="A572" s="11">
        <v>53633</v>
      </c>
    </row>
    <row r="573" spans="1:1" x14ac:dyDescent="0.35">
      <c r="A573" s="11">
        <v>53646</v>
      </c>
    </row>
    <row r="574" spans="1:1" x14ac:dyDescent="0.35">
      <c r="A574" s="11">
        <v>53651</v>
      </c>
    </row>
    <row r="575" spans="1:1" x14ac:dyDescent="0.35">
      <c r="A575" s="11">
        <v>53686</v>
      </c>
    </row>
    <row r="576" spans="1:1" x14ac:dyDescent="0.35">
      <c r="A576" s="9">
        <v>53693</v>
      </c>
    </row>
    <row r="577" spans="1:1" x14ac:dyDescent="0.35">
      <c r="A577" s="9">
        <v>53748</v>
      </c>
    </row>
    <row r="578" spans="1:1" x14ac:dyDescent="0.35">
      <c r="A578" s="9">
        <v>53749</v>
      </c>
    </row>
    <row r="579" spans="1:1" x14ac:dyDescent="0.35">
      <c r="A579" s="9">
        <v>53794</v>
      </c>
    </row>
    <row r="580" spans="1:1" x14ac:dyDescent="0.35">
      <c r="A580" s="9">
        <v>53803</v>
      </c>
    </row>
    <row r="581" spans="1:1" x14ac:dyDescent="0.35">
      <c r="A581" s="9">
        <v>53813</v>
      </c>
    </row>
    <row r="582" spans="1:1" x14ac:dyDescent="0.35">
      <c r="A582" s="9">
        <v>53856</v>
      </c>
    </row>
    <row r="583" spans="1:1" x14ac:dyDescent="0.35">
      <c r="A583" s="9">
        <v>53942</v>
      </c>
    </row>
    <row r="584" spans="1:1" x14ac:dyDescent="0.35">
      <c r="A584" s="9">
        <v>53977</v>
      </c>
    </row>
    <row r="585" spans="1:1" x14ac:dyDescent="0.35">
      <c r="A585" s="9">
        <v>53998</v>
      </c>
    </row>
    <row r="586" spans="1:1" x14ac:dyDescent="0.35">
      <c r="A586" s="9">
        <v>54011</v>
      </c>
    </row>
    <row r="587" spans="1:1" x14ac:dyDescent="0.35">
      <c r="A587" s="9">
        <v>54016</v>
      </c>
    </row>
    <row r="588" spans="1:1" x14ac:dyDescent="0.35">
      <c r="A588" s="9">
        <v>54051</v>
      </c>
    </row>
    <row r="589" spans="1:1" x14ac:dyDescent="0.35">
      <c r="A589" s="11">
        <v>54058</v>
      </c>
    </row>
    <row r="590" spans="1:1" x14ac:dyDescent="0.35">
      <c r="A590" s="11">
        <v>54105</v>
      </c>
    </row>
    <row r="591" spans="1:1" x14ac:dyDescent="0.35">
      <c r="A591" s="11">
        <v>54106</v>
      </c>
    </row>
    <row r="592" spans="1:1" x14ac:dyDescent="0.35">
      <c r="A592" s="11">
        <v>54151</v>
      </c>
    </row>
    <row r="593" spans="1:1" x14ac:dyDescent="0.35">
      <c r="A593" s="11">
        <v>54169</v>
      </c>
    </row>
    <row r="594" spans="1:1" x14ac:dyDescent="0.35">
      <c r="A594" s="11">
        <v>54179</v>
      </c>
    </row>
    <row r="595" spans="1:1" x14ac:dyDescent="0.35">
      <c r="A595" s="11">
        <v>54213</v>
      </c>
    </row>
    <row r="596" spans="1:1" x14ac:dyDescent="0.35">
      <c r="A596" s="11">
        <v>54308</v>
      </c>
    </row>
    <row r="597" spans="1:1" x14ac:dyDescent="0.35">
      <c r="A597" s="11">
        <v>54343</v>
      </c>
    </row>
    <row r="598" spans="1:1" x14ac:dyDescent="0.35">
      <c r="A598" s="11">
        <v>54364</v>
      </c>
    </row>
    <row r="599" spans="1:1" x14ac:dyDescent="0.35">
      <c r="A599" s="11">
        <v>54377</v>
      </c>
    </row>
    <row r="600" spans="1:1" x14ac:dyDescent="0.35">
      <c r="A600" s="11">
        <v>54382</v>
      </c>
    </row>
    <row r="601" spans="1:1" x14ac:dyDescent="0.35">
      <c r="A601" s="11">
        <v>54417</v>
      </c>
    </row>
    <row r="602" spans="1:1" x14ac:dyDescent="0.35">
      <c r="A602" s="9">
        <v>54424</v>
      </c>
    </row>
    <row r="603" spans="1:1" x14ac:dyDescent="0.35">
      <c r="A603" s="9">
        <v>54483</v>
      </c>
    </row>
    <row r="604" spans="1:1" x14ac:dyDescent="0.35">
      <c r="A604" s="9">
        <v>54484</v>
      </c>
    </row>
    <row r="605" spans="1:1" x14ac:dyDescent="0.35">
      <c r="A605" s="9">
        <v>54529</v>
      </c>
    </row>
    <row r="606" spans="1:1" x14ac:dyDescent="0.35">
      <c r="A606" s="9">
        <v>54534</v>
      </c>
    </row>
    <row r="607" spans="1:1" x14ac:dyDescent="0.35">
      <c r="A607" s="9">
        <v>54544</v>
      </c>
    </row>
    <row r="608" spans="1:1" x14ac:dyDescent="0.35">
      <c r="A608" s="9">
        <v>54591</v>
      </c>
    </row>
    <row r="609" spans="1:1" x14ac:dyDescent="0.35">
      <c r="A609" s="9">
        <v>54673</v>
      </c>
    </row>
    <row r="610" spans="1:1" x14ac:dyDescent="0.35">
      <c r="A610" s="9">
        <v>54708</v>
      </c>
    </row>
    <row r="611" spans="1:1" x14ac:dyDescent="0.35">
      <c r="A611" s="9">
        <v>54729</v>
      </c>
    </row>
    <row r="612" spans="1:1" x14ac:dyDescent="0.35">
      <c r="A612" s="9">
        <v>54742</v>
      </c>
    </row>
    <row r="613" spans="1:1" x14ac:dyDescent="0.35">
      <c r="A613" s="9">
        <v>54747</v>
      </c>
    </row>
    <row r="614" spans="1:1" x14ac:dyDescent="0.35">
      <c r="A614" s="9">
        <v>54782</v>
      </c>
    </row>
    <row r="615" spans="1:1" x14ac:dyDescent="0.35">
      <c r="A615" s="11">
        <v>54789</v>
      </c>
    </row>
    <row r="616" spans="1:1" x14ac:dyDescent="0.35">
      <c r="A616" s="11">
        <v>54840</v>
      </c>
    </row>
    <row r="617" spans="1:1" x14ac:dyDescent="0.35">
      <c r="A617" s="11">
        <v>54841</v>
      </c>
    </row>
    <row r="618" spans="1:1" x14ac:dyDescent="0.35">
      <c r="A618" s="11">
        <v>54886</v>
      </c>
    </row>
    <row r="619" spans="1:1" x14ac:dyDescent="0.35">
      <c r="A619" s="11">
        <v>54899</v>
      </c>
    </row>
    <row r="620" spans="1:1" x14ac:dyDescent="0.35">
      <c r="A620" s="11">
        <v>54909</v>
      </c>
    </row>
    <row r="621" spans="1:1" x14ac:dyDescent="0.35">
      <c r="A621" s="11">
        <v>54948</v>
      </c>
    </row>
    <row r="622" spans="1:1" x14ac:dyDescent="0.35">
      <c r="A622" s="11">
        <v>55038</v>
      </c>
    </row>
    <row r="623" spans="1:1" x14ac:dyDescent="0.35">
      <c r="A623" s="11">
        <v>55073</v>
      </c>
    </row>
    <row r="624" spans="1:1" x14ac:dyDescent="0.35">
      <c r="A624" s="11">
        <v>55094</v>
      </c>
    </row>
    <row r="625" spans="1:1" x14ac:dyDescent="0.35">
      <c r="A625" s="11">
        <v>55107</v>
      </c>
    </row>
    <row r="626" spans="1:1" x14ac:dyDescent="0.35">
      <c r="A626" s="11">
        <v>55112</v>
      </c>
    </row>
    <row r="627" spans="1:1" x14ac:dyDescent="0.35">
      <c r="A627" s="11">
        <v>55147</v>
      </c>
    </row>
    <row r="628" spans="1:1" x14ac:dyDescent="0.35">
      <c r="A628" s="9">
        <v>55154</v>
      </c>
    </row>
    <row r="629" spans="1:1" x14ac:dyDescent="0.35">
      <c r="A629" s="9">
        <v>55197</v>
      </c>
    </row>
    <row r="630" spans="1:1" x14ac:dyDescent="0.35">
      <c r="A630" s="9">
        <v>55198</v>
      </c>
    </row>
    <row r="631" spans="1:1" x14ac:dyDescent="0.35">
      <c r="A631" s="9">
        <v>55243</v>
      </c>
    </row>
    <row r="632" spans="1:1" x14ac:dyDescent="0.35">
      <c r="A632" s="9">
        <v>55264</v>
      </c>
    </row>
    <row r="633" spans="1:1" x14ac:dyDescent="0.35">
      <c r="A633" s="9">
        <v>55274</v>
      </c>
    </row>
    <row r="634" spans="1:1" x14ac:dyDescent="0.35">
      <c r="A634" s="9">
        <v>55305</v>
      </c>
    </row>
    <row r="635" spans="1:1" x14ac:dyDescent="0.35">
      <c r="A635" s="9">
        <v>55403</v>
      </c>
    </row>
    <row r="636" spans="1:1" x14ac:dyDescent="0.35">
      <c r="A636" s="9">
        <v>55438</v>
      </c>
    </row>
    <row r="637" spans="1:1" x14ac:dyDescent="0.35">
      <c r="A637" s="9">
        <v>55459</v>
      </c>
    </row>
    <row r="638" spans="1:1" x14ac:dyDescent="0.35">
      <c r="A638" s="9">
        <v>55472</v>
      </c>
    </row>
    <row r="639" spans="1:1" x14ac:dyDescent="0.35">
      <c r="A639" s="9">
        <v>55477</v>
      </c>
    </row>
    <row r="640" spans="1:1" x14ac:dyDescent="0.35">
      <c r="A640" s="9">
        <v>55512</v>
      </c>
    </row>
    <row r="641" spans="1:1" x14ac:dyDescent="0.35">
      <c r="A641" s="11">
        <v>55519</v>
      </c>
    </row>
    <row r="642" spans="1:1" x14ac:dyDescent="0.35">
      <c r="A642" s="11">
        <v>55582</v>
      </c>
    </row>
    <row r="643" spans="1:1" x14ac:dyDescent="0.35">
      <c r="A643" s="11">
        <v>55583</v>
      </c>
    </row>
    <row r="644" spans="1:1" x14ac:dyDescent="0.35">
      <c r="A644" s="11">
        <v>55628</v>
      </c>
    </row>
    <row r="645" spans="1:1" x14ac:dyDescent="0.35">
      <c r="A645" s="11">
        <v>55630</v>
      </c>
    </row>
    <row r="646" spans="1:1" x14ac:dyDescent="0.35">
      <c r="A646" s="11">
        <v>55640</v>
      </c>
    </row>
    <row r="647" spans="1:1" x14ac:dyDescent="0.35">
      <c r="A647" s="11">
        <v>55690</v>
      </c>
    </row>
    <row r="648" spans="1:1" x14ac:dyDescent="0.35">
      <c r="A648" s="11">
        <v>55769</v>
      </c>
    </row>
    <row r="649" spans="1:1" x14ac:dyDescent="0.35">
      <c r="A649" s="11">
        <v>55804</v>
      </c>
    </row>
    <row r="650" spans="1:1" x14ac:dyDescent="0.35">
      <c r="A650" s="11">
        <v>55825</v>
      </c>
    </row>
    <row r="651" spans="1:1" x14ac:dyDescent="0.35">
      <c r="A651" s="11">
        <v>55838</v>
      </c>
    </row>
    <row r="652" spans="1:1" x14ac:dyDescent="0.35">
      <c r="A652" s="11">
        <v>55843</v>
      </c>
    </row>
    <row r="653" spans="1:1" x14ac:dyDescent="0.35">
      <c r="A653" s="11">
        <v>55878</v>
      </c>
    </row>
    <row r="654" spans="1:1" x14ac:dyDescent="0.35">
      <c r="A654" s="9">
        <v>55885</v>
      </c>
    </row>
    <row r="655" spans="1:1" x14ac:dyDescent="0.35">
      <c r="A655" s="9">
        <v>55932</v>
      </c>
    </row>
    <row r="656" spans="1:1" x14ac:dyDescent="0.35">
      <c r="A656" s="9">
        <v>55933</v>
      </c>
    </row>
    <row r="657" spans="1:1" x14ac:dyDescent="0.35">
      <c r="A657" s="9">
        <v>55978</v>
      </c>
    </row>
    <row r="658" spans="1:1" x14ac:dyDescent="0.35">
      <c r="A658" s="9">
        <v>55995</v>
      </c>
    </row>
    <row r="659" spans="1:1" x14ac:dyDescent="0.35">
      <c r="A659" s="9">
        <v>56005</v>
      </c>
    </row>
    <row r="660" spans="1:1" x14ac:dyDescent="0.35">
      <c r="A660" s="9">
        <v>56040</v>
      </c>
    </row>
    <row r="661" spans="1:1" x14ac:dyDescent="0.35">
      <c r="A661" s="9">
        <v>56134</v>
      </c>
    </row>
    <row r="662" spans="1:1" x14ac:dyDescent="0.35">
      <c r="A662" s="9">
        <v>56169</v>
      </c>
    </row>
    <row r="663" spans="1:1" x14ac:dyDescent="0.35">
      <c r="A663" s="9">
        <v>56190</v>
      </c>
    </row>
    <row r="664" spans="1:1" x14ac:dyDescent="0.35">
      <c r="A664" s="9">
        <v>56203</v>
      </c>
    </row>
    <row r="665" spans="1:1" x14ac:dyDescent="0.35">
      <c r="A665" s="9">
        <v>56208</v>
      </c>
    </row>
    <row r="666" spans="1:1" x14ac:dyDescent="0.35">
      <c r="A666" s="9">
        <v>56243</v>
      </c>
    </row>
    <row r="667" spans="1:1" x14ac:dyDescent="0.35">
      <c r="A667" s="11">
        <v>56250</v>
      </c>
    </row>
    <row r="668" spans="1:1" x14ac:dyDescent="0.35">
      <c r="A668" s="11">
        <v>56289</v>
      </c>
    </row>
    <row r="669" spans="1:1" x14ac:dyDescent="0.35">
      <c r="A669" s="11">
        <v>56290</v>
      </c>
    </row>
    <row r="670" spans="1:1" x14ac:dyDescent="0.35">
      <c r="A670" s="11">
        <v>56335</v>
      </c>
    </row>
    <row r="671" spans="1:1" x14ac:dyDescent="0.35">
      <c r="A671" s="11">
        <v>56360</v>
      </c>
    </row>
    <row r="672" spans="1:1" x14ac:dyDescent="0.35">
      <c r="A672" s="11">
        <v>56370</v>
      </c>
    </row>
    <row r="673" spans="1:1" x14ac:dyDescent="0.35">
      <c r="A673" s="11">
        <v>56397</v>
      </c>
    </row>
    <row r="674" spans="1:1" x14ac:dyDescent="0.35">
      <c r="A674" s="11">
        <v>56499</v>
      </c>
    </row>
    <row r="675" spans="1:1" x14ac:dyDescent="0.35">
      <c r="A675" s="11">
        <v>56534</v>
      </c>
    </row>
    <row r="676" spans="1:1" x14ac:dyDescent="0.35">
      <c r="A676" s="11">
        <v>56555</v>
      </c>
    </row>
    <row r="677" spans="1:1" x14ac:dyDescent="0.35">
      <c r="A677" s="11">
        <v>56568</v>
      </c>
    </row>
    <row r="678" spans="1:1" x14ac:dyDescent="0.35">
      <c r="A678" s="11">
        <v>56573</v>
      </c>
    </row>
    <row r="679" spans="1:1" x14ac:dyDescent="0.35">
      <c r="A679" s="11">
        <v>56608</v>
      </c>
    </row>
    <row r="680" spans="1:1" x14ac:dyDescent="0.35">
      <c r="A680" s="9">
        <v>56615</v>
      </c>
    </row>
    <row r="681" spans="1:1" x14ac:dyDescent="0.35">
      <c r="A681" s="9">
        <v>56674</v>
      </c>
    </row>
    <row r="682" spans="1:1" x14ac:dyDescent="0.35">
      <c r="A682" s="9">
        <v>56675</v>
      </c>
    </row>
    <row r="683" spans="1:1" x14ac:dyDescent="0.35">
      <c r="A683" s="9">
        <v>56720</v>
      </c>
    </row>
    <row r="684" spans="1:1" x14ac:dyDescent="0.35">
      <c r="A684" s="9">
        <v>56725</v>
      </c>
    </row>
    <row r="685" spans="1:1" x14ac:dyDescent="0.35">
      <c r="A685" s="9">
        <v>56735</v>
      </c>
    </row>
    <row r="686" spans="1:1" x14ac:dyDescent="0.35">
      <c r="A686" s="9">
        <v>56782</v>
      </c>
    </row>
    <row r="687" spans="1:1" x14ac:dyDescent="0.35">
      <c r="A687" s="9">
        <v>56864</v>
      </c>
    </row>
    <row r="688" spans="1:1" x14ac:dyDescent="0.35">
      <c r="A688" s="9">
        <v>56899</v>
      </c>
    </row>
    <row r="689" spans="1:1" x14ac:dyDescent="0.35">
      <c r="A689" s="9">
        <v>56920</v>
      </c>
    </row>
    <row r="690" spans="1:1" x14ac:dyDescent="0.35">
      <c r="A690" s="9">
        <v>56933</v>
      </c>
    </row>
    <row r="691" spans="1:1" x14ac:dyDescent="0.35">
      <c r="A691" s="9">
        <v>56938</v>
      </c>
    </row>
    <row r="692" spans="1:1" x14ac:dyDescent="0.35">
      <c r="A692" s="9">
        <v>56973</v>
      </c>
    </row>
    <row r="693" spans="1:1" x14ac:dyDescent="0.35">
      <c r="A693" s="11">
        <v>56980</v>
      </c>
    </row>
    <row r="694" spans="1:1" x14ac:dyDescent="0.35">
      <c r="A694" s="11">
        <v>57024</v>
      </c>
    </row>
    <row r="695" spans="1:1" x14ac:dyDescent="0.35">
      <c r="A695" s="11">
        <v>57025</v>
      </c>
    </row>
    <row r="696" spans="1:1" x14ac:dyDescent="0.35">
      <c r="A696" s="11">
        <v>57070</v>
      </c>
    </row>
    <row r="697" spans="1:1" x14ac:dyDescent="0.35">
      <c r="A697" s="11">
        <v>57091</v>
      </c>
    </row>
    <row r="698" spans="1:1" x14ac:dyDescent="0.35">
      <c r="A698" s="11">
        <v>57101</v>
      </c>
    </row>
    <row r="699" spans="1:1" x14ac:dyDescent="0.35">
      <c r="A699" s="11">
        <v>57132</v>
      </c>
    </row>
    <row r="700" spans="1:1" x14ac:dyDescent="0.35">
      <c r="A700" s="11">
        <v>57230</v>
      </c>
    </row>
    <row r="701" spans="1:1" x14ac:dyDescent="0.35">
      <c r="A701" s="11">
        <v>57265</v>
      </c>
    </row>
    <row r="702" spans="1:1" x14ac:dyDescent="0.35">
      <c r="A702" s="11">
        <v>57286</v>
      </c>
    </row>
    <row r="703" spans="1:1" x14ac:dyDescent="0.35">
      <c r="A703" s="11">
        <v>57299</v>
      </c>
    </row>
    <row r="704" spans="1:1" x14ac:dyDescent="0.35">
      <c r="A704" s="11">
        <v>57304</v>
      </c>
    </row>
    <row r="705" spans="1:1" x14ac:dyDescent="0.35">
      <c r="A705" s="11">
        <v>57339</v>
      </c>
    </row>
    <row r="706" spans="1:1" x14ac:dyDescent="0.35">
      <c r="A706" s="9">
        <v>57346</v>
      </c>
    </row>
    <row r="707" spans="1:1" x14ac:dyDescent="0.35">
      <c r="A707" s="9">
        <v>57409</v>
      </c>
    </row>
    <row r="708" spans="1:1" x14ac:dyDescent="0.35">
      <c r="A708" s="9">
        <v>57410</v>
      </c>
    </row>
    <row r="709" spans="1:1" x14ac:dyDescent="0.35">
      <c r="A709" s="9">
        <v>57455</v>
      </c>
    </row>
    <row r="710" spans="1:1" x14ac:dyDescent="0.35">
      <c r="A710" s="9">
        <v>57456</v>
      </c>
    </row>
    <row r="711" spans="1:1" x14ac:dyDescent="0.35">
      <c r="A711" s="9">
        <v>57466</v>
      </c>
    </row>
    <row r="712" spans="1:1" x14ac:dyDescent="0.35">
      <c r="A712" s="9">
        <v>57517</v>
      </c>
    </row>
    <row r="713" spans="1:1" x14ac:dyDescent="0.35">
      <c r="A713" s="9">
        <v>57595</v>
      </c>
    </row>
    <row r="714" spans="1:1" x14ac:dyDescent="0.35">
      <c r="A714" s="9">
        <v>57630</v>
      </c>
    </row>
    <row r="715" spans="1:1" x14ac:dyDescent="0.35">
      <c r="A715" s="9">
        <v>57651</v>
      </c>
    </row>
    <row r="716" spans="1:1" x14ac:dyDescent="0.35">
      <c r="A716" s="9">
        <v>57664</v>
      </c>
    </row>
    <row r="717" spans="1:1" x14ac:dyDescent="0.35">
      <c r="A717" s="9">
        <v>57669</v>
      </c>
    </row>
    <row r="718" spans="1:1" x14ac:dyDescent="0.35">
      <c r="A718" s="9">
        <v>57704</v>
      </c>
    </row>
    <row r="719" spans="1:1" x14ac:dyDescent="0.35">
      <c r="A719" s="11">
        <v>57711</v>
      </c>
    </row>
    <row r="720" spans="1:1" x14ac:dyDescent="0.35">
      <c r="A720" s="11">
        <v>57766</v>
      </c>
    </row>
    <row r="721" spans="1:1" x14ac:dyDescent="0.35">
      <c r="A721" s="11">
        <v>57767</v>
      </c>
    </row>
    <row r="722" spans="1:1" x14ac:dyDescent="0.35">
      <c r="A722" s="11">
        <v>57812</v>
      </c>
    </row>
    <row r="723" spans="1:1" x14ac:dyDescent="0.35">
      <c r="A723" s="11">
        <v>57821</v>
      </c>
    </row>
    <row r="724" spans="1:1" x14ac:dyDescent="0.35">
      <c r="A724" s="11">
        <v>57831</v>
      </c>
    </row>
    <row r="725" spans="1:1" x14ac:dyDescent="0.35">
      <c r="A725" s="11">
        <v>57874</v>
      </c>
    </row>
    <row r="726" spans="1:1" x14ac:dyDescent="0.35">
      <c r="A726" s="11">
        <v>57960</v>
      </c>
    </row>
    <row r="727" spans="1:1" x14ac:dyDescent="0.35">
      <c r="A727" s="11">
        <v>57995</v>
      </c>
    </row>
    <row r="728" spans="1:1" x14ac:dyDescent="0.35">
      <c r="A728" s="11">
        <v>58016</v>
      </c>
    </row>
    <row r="729" spans="1:1" x14ac:dyDescent="0.35">
      <c r="A729" s="11">
        <v>58029</v>
      </c>
    </row>
    <row r="730" spans="1:1" x14ac:dyDescent="0.35">
      <c r="A730" s="11">
        <v>58034</v>
      </c>
    </row>
    <row r="731" spans="1:1" x14ac:dyDescent="0.35">
      <c r="A731" s="11">
        <v>58069</v>
      </c>
    </row>
    <row r="732" spans="1:1" x14ac:dyDescent="0.35">
      <c r="A732" s="9">
        <v>58076</v>
      </c>
    </row>
    <row r="733" spans="1:1" x14ac:dyDescent="0.35">
      <c r="A733" s="9">
        <v>58116</v>
      </c>
    </row>
    <row r="734" spans="1:1" x14ac:dyDescent="0.35">
      <c r="A734" s="9">
        <v>58117</v>
      </c>
    </row>
    <row r="735" spans="1:1" x14ac:dyDescent="0.35">
      <c r="A735" s="9">
        <v>58162</v>
      </c>
    </row>
    <row r="736" spans="1:1" x14ac:dyDescent="0.35">
      <c r="A736" s="9">
        <v>58186</v>
      </c>
    </row>
    <row r="737" spans="1:1" x14ac:dyDescent="0.35">
      <c r="A737" s="9">
        <v>58196</v>
      </c>
    </row>
    <row r="738" spans="1:1" x14ac:dyDescent="0.35">
      <c r="A738" s="9">
        <v>58224</v>
      </c>
    </row>
    <row r="739" spans="1:1" x14ac:dyDescent="0.35">
      <c r="A739" s="9">
        <v>58325</v>
      </c>
    </row>
    <row r="740" spans="1:1" x14ac:dyDescent="0.35">
      <c r="A740" s="9">
        <v>58360</v>
      </c>
    </row>
    <row r="741" spans="1:1" x14ac:dyDescent="0.35">
      <c r="A741" s="9">
        <v>58381</v>
      </c>
    </row>
    <row r="742" spans="1:1" x14ac:dyDescent="0.35">
      <c r="A742" s="9">
        <v>58394</v>
      </c>
    </row>
    <row r="743" spans="1:1" x14ac:dyDescent="0.35">
      <c r="A743" s="9">
        <v>58399</v>
      </c>
    </row>
    <row r="744" spans="1:1" x14ac:dyDescent="0.35">
      <c r="A744" s="9">
        <v>58434</v>
      </c>
    </row>
    <row r="745" spans="1:1" x14ac:dyDescent="0.35">
      <c r="A745" s="11">
        <v>58441</v>
      </c>
    </row>
    <row r="746" spans="1:1" x14ac:dyDescent="0.35">
      <c r="A746" s="11">
        <v>58501</v>
      </c>
    </row>
    <row r="747" spans="1:1" x14ac:dyDescent="0.35">
      <c r="A747" s="11">
        <v>58502</v>
      </c>
    </row>
    <row r="748" spans="1:1" x14ac:dyDescent="0.35">
      <c r="A748" s="11">
        <v>58547</v>
      </c>
    </row>
    <row r="749" spans="1:1" x14ac:dyDescent="0.35">
      <c r="A749" s="11">
        <v>58552</v>
      </c>
    </row>
    <row r="750" spans="1:1" x14ac:dyDescent="0.35">
      <c r="A750" s="11">
        <v>58562</v>
      </c>
    </row>
    <row r="751" spans="1:1" x14ac:dyDescent="0.35">
      <c r="A751" s="11">
        <v>58609</v>
      </c>
    </row>
    <row r="752" spans="1:1" x14ac:dyDescent="0.35">
      <c r="A752" s="11">
        <v>58691</v>
      </c>
    </row>
    <row r="753" spans="1:1" x14ac:dyDescent="0.35">
      <c r="A753" s="11">
        <v>58726</v>
      </c>
    </row>
    <row r="754" spans="1:1" x14ac:dyDescent="0.35">
      <c r="A754" s="11">
        <v>58747</v>
      </c>
    </row>
    <row r="755" spans="1:1" x14ac:dyDescent="0.35">
      <c r="A755" s="11">
        <v>58760</v>
      </c>
    </row>
    <row r="756" spans="1:1" x14ac:dyDescent="0.35">
      <c r="A756" s="11">
        <v>58765</v>
      </c>
    </row>
    <row r="757" spans="1:1" x14ac:dyDescent="0.35">
      <c r="A757" s="11">
        <v>58800</v>
      </c>
    </row>
    <row r="758" spans="1:1" x14ac:dyDescent="0.35">
      <c r="A758" s="9">
        <v>58807</v>
      </c>
    </row>
    <row r="759" spans="1:1" x14ac:dyDescent="0.35">
      <c r="A759" s="9">
        <v>58858</v>
      </c>
    </row>
    <row r="760" spans="1:1" x14ac:dyDescent="0.35">
      <c r="A760" s="9">
        <v>58859</v>
      </c>
    </row>
    <row r="761" spans="1:1" x14ac:dyDescent="0.35">
      <c r="A761" s="9">
        <v>58904</v>
      </c>
    </row>
    <row r="762" spans="1:1" x14ac:dyDescent="0.35">
      <c r="A762" s="9">
        <v>58917</v>
      </c>
    </row>
    <row r="763" spans="1:1" x14ac:dyDescent="0.35">
      <c r="A763" s="9">
        <v>58927</v>
      </c>
    </row>
    <row r="764" spans="1:1" x14ac:dyDescent="0.35">
      <c r="A764" s="9">
        <v>58966</v>
      </c>
    </row>
    <row r="765" spans="1:1" x14ac:dyDescent="0.35">
      <c r="A765" s="9">
        <v>59056</v>
      </c>
    </row>
    <row r="766" spans="1:1" x14ac:dyDescent="0.35">
      <c r="A766" s="9">
        <v>59091</v>
      </c>
    </row>
    <row r="767" spans="1:1" x14ac:dyDescent="0.35">
      <c r="A767" s="9">
        <v>59112</v>
      </c>
    </row>
    <row r="768" spans="1:1" x14ac:dyDescent="0.35">
      <c r="A768" s="9">
        <v>59125</v>
      </c>
    </row>
    <row r="769" spans="1:1" x14ac:dyDescent="0.35">
      <c r="A769" s="9">
        <v>59130</v>
      </c>
    </row>
    <row r="770" spans="1:1" x14ac:dyDescent="0.35">
      <c r="A770" s="9">
        <v>59165</v>
      </c>
    </row>
    <row r="771" spans="1:1" x14ac:dyDescent="0.35">
      <c r="A771" s="11">
        <v>59172</v>
      </c>
    </row>
    <row r="772" spans="1:1" x14ac:dyDescent="0.35">
      <c r="A772" s="11">
        <v>59208</v>
      </c>
    </row>
    <row r="773" spans="1:1" x14ac:dyDescent="0.35">
      <c r="A773" s="11">
        <v>59209</v>
      </c>
    </row>
    <row r="774" spans="1:1" x14ac:dyDescent="0.35">
      <c r="A774" s="11">
        <v>59254</v>
      </c>
    </row>
    <row r="775" spans="1:1" x14ac:dyDescent="0.35">
      <c r="A775" s="11">
        <v>59282</v>
      </c>
    </row>
    <row r="776" spans="1:1" x14ac:dyDescent="0.35">
      <c r="A776" s="11">
        <v>59292</v>
      </c>
    </row>
    <row r="777" spans="1:1" x14ac:dyDescent="0.35">
      <c r="A777" s="11">
        <v>59316</v>
      </c>
    </row>
    <row r="778" spans="1:1" x14ac:dyDescent="0.35">
      <c r="A778" s="11">
        <v>59421</v>
      </c>
    </row>
    <row r="779" spans="1:1" x14ac:dyDescent="0.35">
      <c r="A779" s="11">
        <v>59456</v>
      </c>
    </row>
    <row r="780" spans="1:1" x14ac:dyDescent="0.35">
      <c r="A780" s="11">
        <v>59477</v>
      </c>
    </row>
    <row r="781" spans="1:1" x14ac:dyDescent="0.35">
      <c r="A781" s="11">
        <v>59490</v>
      </c>
    </row>
    <row r="782" spans="1:1" x14ac:dyDescent="0.35">
      <c r="A782" s="11">
        <v>59495</v>
      </c>
    </row>
    <row r="783" spans="1:1" x14ac:dyDescent="0.35">
      <c r="A783" s="11">
        <v>59530</v>
      </c>
    </row>
    <row r="784" spans="1:1" x14ac:dyDescent="0.35">
      <c r="A784" s="9">
        <v>59537</v>
      </c>
    </row>
    <row r="785" spans="1:1" x14ac:dyDescent="0.35">
      <c r="A785" s="9">
        <v>59593</v>
      </c>
    </row>
    <row r="786" spans="1:1" x14ac:dyDescent="0.35">
      <c r="A786" s="9">
        <v>59594</v>
      </c>
    </row>
    <row r="787" spans="1:1" x14ac:dyDescent="0.35">
      <c r="A787" s="9">
        <v>59639</v>
      </c>
    </row>
    <row r="788" spans="1:1" x14ac:dyDescent="0.35">
      <c r="A788" s="9">
        <v>59647</v>
      </c>
    </row>
    <row r="789" spans="1:1" x14ac:dyDescent="0.35">
      <c r="A789" s="9">
        <v>59657</v>
      </c>
    </row>
    <row r="790" spans="1:1" x14ac:dyDescent="0.35">
      <c r="A790" s="9">
        <v>59701</v>
      </c>
    </row>
    <row r="791" spans="1:1" x14ac:dyDescent="0.35">
      <c r="A791" s="9">
        <v>59786</v>
      </c>
    </row>
    <row r="792" spans="1:1" x14ac:dyDescent="0.35">
      <c r="A792" s="9">
        <v>59821</v>
      </c>
    </row>
    <row r="793" spans="1:1" x14ac:dyDescent="0.35">
      <c r="A793" s="9">
        <v>59842</v>
      </c>
    </row>
    <row r="794" spans="1:1" x14ac:dyDescent="0.35">
      <c r="A794" s="9">
        <v>59855</v>
      </c>
    </row>
    <row r="795" spans="1:1" x14ac:dyDescent="0.35">
      <c r="A795" s="9">
        <v>59860</v>
      </c>
    </row>
    <row r="796" spans="1:1" x14ac:dyDescent="0.35">
      <c r="A796" s="9">
        <v>59895</v>
      </c>
    </row>
    <row r="797" spans="1:1" x14ac:dyDescent="0.35">
      <c r="A797" s="11">
        <v>59902</v>
      </c>
    </row>
    <row r="798" spans="1:1" x14ac:dyDescent="0.35">
      <c r="A798" s="11">
        <v>59950</v>
      </c>
    </row>
    <row r="799" spans="1:1" x14ac:dyDescent="0.35">
      <c r="A799" s="11">
        <v>59951</v>
      </c>
    </row>
    <row r="800" spans="1:1" x14ac:dyDescent="0.35">
      <c r="A800" s="11">
        <v>59996</v>
      </c>
    </row>
    <row r="801" spans="1:1" x14ac:dyDescent="0.35">
      <c r="A801" s="11">
        <v>60013</v>
      </c>
    </row>
    <row r="802" spans="1:1" x14ac:dyDescent="0.35">
      <c r="A802" s="11">
        <v>60023</v>
      </c>
    </row>
    <row r="803" spans="1:1" x14ac:dyDescent="0.35">
      <c r="A803" s="11">
        <v>60058</v>
      </c>
    </row>
    <row r="804" spans="1:1" x14ac:dyDescent="0.35">
      <c r="A804" s="11">
        <v>60152</v>
      </c>
    </row>
    <row r="805" spans="1:1" x14ac:dyDescent="0.35">
      <c r="A805" s="11">
        <v>60187</v>
      </c>
    </row>
    <row r="806" spans="1:1" x14ac:dyDescent="0.35">
      <c r="A806" s="11">
        <v>60208</v>
      </c>
    </row>
    <row r="807" spans="1:1" x14ac:dyDescent="0.35">
      <c r="A807" s="11">
        <v>60221</v>
      </c>
    </row>
    <row r="808" spans="1:1" x14ac:dyDescent="0.35">
      <c r="A808" s="11">
        <v>60226</v>
      </c>
    </row>
    <row r="809" spans="1:1" x14ac:dyDescent="0.35">
      <c r="A809" s="11">
        <v>60261</v>
      </c>
    </row>
    <row r="810" spans="1:1" x14ac:dyDescent="0.35">
      <c r="A810" s="9">
        <v>60268</v>
      </c>
    </row>
    <row r="811" spans="1:1" x14ac:dyDescent="0.35">
      <c r="A811" s="9">
        <v>60307</v>
      </c>
    </row>
    <row r="812" spans="1:1" x14ac:dyDescent="0.35">
      <c r="A812" s="9">
        <v>60308</v>
      </c>
    </row>
    <row r="813" spans="1:1" x14ac:dyDescent="0.35">
      <c r="A813" s="9">
        <v>60353</v>
      </c>
    </row>
    <row r="814" spans="1:1" x14ac:dyDescent="0.35">
      <c r="A814" s="9">
        <v>60378</v>
      </c>
    </row>
    <row r="815" spans="1:1" x14ac:dyDescent="0.35">
      <c r="A815" s="9">
        <v>60388</v>
      </c>
    </row>
    <row r="816" spans="1:1" x14ac:dyDescent="0.35">
      <c r="A816" s="9">
        <v>60415</v>
      </c>
    </row>
    <row r="817" spans="1:1" x14ac:dyDescent="0.35">
      <c r="A817" s="9">
        <v>60517</v>
      </c>
    </row>
    <row r="818" spans="1:1" x14ac:dyDescent="0.35">
      <c r="A818" s="9">
        <v>60552</v>
      </c>
    </row>
    <row r="819" spans="1:1" x14ac:dyDescent="0.35">
      <c r="A819" s="9">
        <v>60573</v>
      </c>
    </row>
    <row r="820" spans="1:1" x14ac:dyDescent="0.35">
      <c r="A820" s="9">
        <v>60586</v>
      </c>
    </row>
    <row r="821" spans="1:1" x14ac:dyDescent="0.35">
      <c r="A821" s="9">
        <v>60591</v>
      </c>
    </row>
    <row r="822" spans="1:1" x14ac:dyDescent="0.35">
      <c r="A822" s="9">
        <v>60626</v>
      </c>
    </row>
    <row r="823" spans="1:1" x14ac:dyDescent="0.35">
      <c r="A823" s="11">
        <v>60633</v>
      </c>
    </row>
    <row r="824" spans="1:1" x14ac:dyDescent="0.35">
      <c r="A824" s="11">
        <v>60685</v>
      </c>
    </row>
    <row r="825" spans="1:1" x14ac:dyDescent="0.35">
      <c r="A825" s="11">
        <v>60686</v>
      </c>
    </row>
    <row r="826" spans="1:1" x14ac:dyDescent="0.35">
      <c r="A826" s="11">
        <v>60731</v>
      </c>
    </row>
    <row r="827" spans="1:1" x14ac:dyDescent="0.35">
      <c r="A827" s="11">
        <v>60743</v>
      </c>
    </row>
    <row r="828" spans="1:1" x14ac:dyDescent="0.35">
      <c r="A828" s="11">
        <v>60753</v>
      </c>
    </row>
    <row r="829" spans="1:1" x14ac:dyDescent="0.35">
      <c r="A829" s="11">
        <v>60793</v>
      </c>
    </row>
    <row r="830" spans="1:1" x14ac:dyDescent="0.35">
      <c r="A830" s="11">
        <v>60882</v>
      </c>
    </row>
    <row r="831" spans="1:1" x14ac:dyDescent="0.35">
      <c r="A831" s="11">
        <v>60917</v>
      </c>
    </row>
    <row r="832" spans="1:1" x14ac:dyDescent="0.35">
      <c r="A832" s="11">
        <v>60938</v>
      </c>
    </row>
    <row r="833" spans="1:1" x14ac:dyDescent="0.35">
      <c r="A833" s="11">
        <v>60951</v>
      </c>
    </row>
    <row r="834" spans="1:1" x14ac:dyDescent="0.35">
      <c r="A834" s="11">
        <v>60956</v>
      </c>
    </row>
    <row r="835" spans="1:1" x14ac:dyDescent="0.35">
      <c r="A835" s="11">
        <v>60991</v>
      </c>
    </row>
    <row r="836" spans="1:1" x14ac:dyDescent="0.35">
      <c r="A836" s="9">
        <v>60998</v>
      </c>
    </row>
    <row r="837" spans="1:1" x14ac:dyDescent="0.35">
      <c r="A837" s="9">
        <v>61042</v>
      </c>
    </row>
    <row r="838" spans="1:1" x14ac:dyDescent="0.35">
      <c r="A838" s="9">
        <v>61043</v>
      </c>
    </row>
    <row r="839" spans="1:1" x14ac:dyDescent="0.35">
      <c r="A839" s="9">
        <v>61088</v>
      </c>
    </row>
    <row r="840" spans="1:1" x14ac:dyDescent="0.35">
      <c r="A840" s="9">
        <v>61108</v>
      </c>
    </row>
    <row r="841" spans="1:1" x14ac:dyDescent="0.35">
      <c r="A841" s="9">
        <v>61118</v>
      </c>
    </row>
    <row r="842" spans="1:1" x14ac:dyDescent="0.35">
      <c r="A842" s="9">
        <v>61150</v>
      </c>
    </row>
    <row r="843" spans="1:1" x14ac:dyDescent="0.35">
      <c r="A843" s="9">
        <v>61247</v>
      </c>
    </row>
    <row r="844" spans="1:1" x14ac:dyDescent="0.35">
      <c r="A844" s="9">
        <v>61282</v>
      </c>
    </row>
    <row r="845" spans="1:1" x14ac:dyDescent="0.35">
      <c r="A845" s="9">
        <v>61303</v>
      </c>
    </row>
    <row r="846" spans="1:1" x14ac:dyDescent="0.35">
      <c r="A846" s="9">
        <v>61316</v>
      </c>
    </row>
    <row r="847" spans="1:1" x14ac:dyDescent="0.35">
      <c r="A847" s="9">
        <v>61321</v>
      </c>
    </row>
    <row r="848" spans="1:1" x14ac:dyDescent="0.35">
      <c r="A848" s="9">
        <v>61356</v>
      </c>
    </row>
    <row r="849" spans="1:1" x14ac:dyDescent="0.35">
      <c r="A849" s="11">
        <v>61363</v>
      </c>
    </row>
    <row r="850" spans="1:1" x14ac:dyDescent="0.35">
      <c r="A850" s="11">
        <v>61427</v>
      </c>
    </row>
    <row r="851" spans="1:1" x14ac:dyDescent="0.35">
      <c r="A851" s="11">
        <v>61428</v>
      </c>
    </row>
    <row r="852" spans="1:1" x14ac:dyDescent="0.35">
      <c r="A852" s="11">
        <v>61473</v>
      </c>
    </row>
    <row r="853" spans="1:1" x14ac:dyDescent="0.35">
      <c r="A853" s="11">
        <v>61474</v>
      </c>
    </row>
    <row r="854" spans="1:1" x14ac:dyDescent="0.35">
      <c r="A854" s="11">
        <v>61484</v>
      </c>
    </row>
    <row r="855" spans="1:1" x14ac:dyDescent="0.35">
      <c r="A855" s="11">
        <v>61535</v>
      </c>
    </row>
    <row r="856" spans="1:1" x14ac:dyDescent="0.35">
      <c r="A856" s="11">
        <v>61613</v>
      </c>
    </row>
    <row r="857" spans="1:1" x14ac:dyDescent="0.35">
      <c r="A857" s="11">
        <v>61648</v>
      </c>
    </row>
    <row r="858" spans="1:1" x14ac:dyDescent="0.35">
      <c r="A858" s="11">
        <v>61669</v>
      </c>
    </row>
    <row r="859" spans="1:1" x14ac:dyDescent="0.35">
      <c r="A859" s="11">
        <v>61682</v>
      </c>
    </row>
    <row r="860" spans="1:1" x14ac:dyDescent="0.35">
      <c r="A860" s="11">
        <v>61687</v>
      </c>
    </row>
    <row r="861" spans="1:1" x14ac:dyDescent="0.35">
      <c r="A861" s="11">
        <v>61722</v>
      </c>
    </row>
    <row r="862" spans="1:1" x14ac:dyDescent="0.35">
      <c r="A862" s="9">
        <v>61729</v>
      </c>
    </row>
    <row r="863" spans="1:1" x14ac:dyDescent="0.35">
      <c r="A863" s="9">
        <v>61784</v>
      </c>
    </row>
    <row r="864" spans="1:1" x14ac:dyDescent="0.35">
      <c r="A864" s="9">
        <v>61785</v>
      </c>
    </row>
    <row r="865" spans="1:1" x14ac:dyDescent="0.35">
      <c r="A865" s="9">
        <v>61830</v>
      </c>
    </row>
    <row r="866" spans="1:1" x14ac:dyDescent="0.35">
      <c r="A866" s="9">
        <v>61839</v>
      </c>
    </row>
    <row r="867" spans="1:1" x14ac:dyDescent="0.35">
      <c r="A867" s="9">
        <v>61849</v>
      </c>
    </row>
    <row r="868" spans="1:1" x14ac:dyDescent="0.35">
      <c r="A868" s="9">
        <v>61892</v>
      </c>
    </row>
    <row r="869" spans="1:1" x14ac:dyDescent="0.35">
      <c r="A869" s="9">
        <v>61978</v>
      </c>
    </row>
    <row r="870" spans="1:1" x14ac:dyDescent="0.35">
      <c r="A870" s="9">
        <v>62013</v>
      </c>
    </row>
    <row r="871" spans="1:1" x14ac:dyDescent="0.35">
      <c r="A871" s="9">
        <v>62034</v>
      </c>
    </row>
    <row r="872" spans="1:1" x14ac:dyDescent="0.35">
      <c r="A872" s="9">
        <v>62047</v>
      </c>
    </row>
    <row r="873" spans="1:1" x14ac:dyDescent="0.35">
      <c r="A873" s="9">
        <v>62052</v>
      </c>
    </row>
    <row r="874" spans="1:1" x14ac:dyDescent="0.35">
      <c r="A874" s="9">
        <v>62087</v>
      </c>
    </row>
    <row r="875" spans="1:1" x14ac:dyDescent="0.35">
      <c r="A875" s="11">
        <v>62094</v>
      </c>
    </row>
    <row r="876" spans="1:1" x14ac:dyDescent="0.35">
      <c r="A876" s="11">
        <v>62134</v>
      </c>
    </row>
    <row r="877" spans="1:1" x14ac:dyDescent="0.35">
      <c r="A877" s="11">
        <v>62135</v>
      </c>
    </row>
    <row r="878" spans="1:1" x14ac:dyDescent="0.35">
      <c r="A878" s="11">
        <v>62180</v>
      </c>
    </row>
    <row r="879" spans="1:1" x14ac:dyDescent="0.35">
      <c r="A879" s="11">
        <v>62204</v>
      </c>
    </row>
    <row r="880" spans="1:1" x14ac:dyDescent="0.35">
      <c r="A880" s="11">
        <v>62214</v>
      </c>
    </row>
    <row r="881" spans="1:1" x14ac:dyDescent="0.35">
      <c r="A881" s="11">
        <v>62242</v>
      </c>
    </row>
    <row r="882" spans="1:1" x14ac:dyDescent="0.35">
      <c r="A882" s="11">
        <v>62343</v>
      </c>
    </row>
    <row r="883" spans="1:1" x14ac:dyDescent="0.35">
      <c r="A883" s="11">
        <v>62378</v>
      </c>
    </row>
    <row r="884" spans="1:1" x14ac:dyDescent="0.35">
      <c r="A884" s="11">
        <v>62399</v>
      </c>
    </row>
    <row r="885" spans="1:1" x14ac:dyDescent="0.35">
      <c r="A885" s="11">
        <v>62412</v>
      </c>
    </row>
    <row r="886" spans="1:1" x14ac:dyDescent="0.35">
      <c r="A886" s="11">
        <v>62417</v>
      </c>
    </row>
    <row r="887" spans="1:1" x14ac:dyDescent="0.35">
      <c r="A887" s="11">
        <v>62452</v>
      </c>
    </row>
    <row r="888" spans="1:1" x14ac:dyDescent="0.35">
      <c r="A888" s="9">
        <v>62459</v>
      </c>
    </row>
    <row r="889" spans="1:1" x14ac:dyDescent="0.35">
      <c r="A889" s="9">
        <v>62519</v>
      </c>
    </row>
    <row r="890" spans="1:1" x14ac:dyDescent="0.35">
      <c r="A890" s="9">
        <v>62520</v>
      </c>
    </row>
    <row r="891" spans="1:1" x14ac:dyDescent="0.35">
      <c r="A891" s="9">
        <v>62565</v>
      </c>
    </row>
    <row r="892" spans="1:1" x14ac:dyDescent="0.35">
      <c r="A892" s="9">
        <v>62569</v>
      </c>
    </row>
    <row r="893" spans="1:1" x14ac:dyDescent="0.35">
      <c r="A893" s="9">
        <v>62579</v>
      </c>
    </row>
    <row r="894" spans="1:1" x14ac:dyDescent="0.35">
      <c r="A894" s="9">
        <v>62627</v>
      </c>
    </row>
    <row r="895" spans="1:1" x14ac:dyDescent="0.35">
      <c r="A895" s="9">
        <v>62708</v>
      </c>
    </row>
    <row r="896" spans="1:1" x14ac:dyDescent="0.35">
      <c r="A896" s="9">
        <v>62743</v>
      </c>
    </row>
    <row r="897" spans="1:1" x14ac:dyDescent="0.35">
      <c r="A897" s="9">
        <v>62764</v>
      </c>
    </row>
    <row r="898" spans="1:1" x14ac:dyDescent="0.35">
      <c r="A898" s="9">
        <v>62777</v>
      </c>
    </row>
    <row r="899" spans="1:1" x14ac:dyDescent="0.35">
      <c r="A899" s="9">
        <v>62782</v>
      </c>
    </row>
    <row r="900" spans="1:1" x14ac:dyDescent="0.35">
      <c r="A900" s="9">
        <v>62817</v>
      </c>
    </row>
    <row r="901" spans="1:1" x14ac:dyDescent="0.35">
      <c r="A901" s="11">
        <v>62824</v>
      </c>
    </row>
    <row r="902" spans="1:1" x14ac:dyDescent="0.35">
      <c r="A902" s="11">
        <v>62876</v>
      </c>
    </row>
    <row r="903" spans="1:1" x14ac:dyDescent="0.35">
      <c r="A903" s="11">
        <v>62877</v>
      </c>
    </row>
    <row r="904" spans="1:1" x14ac:dyDescent="0.35">
      <c r="A904" s="11">
        <v>62922</v>
      </c>
    </row>
    <row r="905" spans="1:1" x14ac:dyDescent="0.35">
      <c r="A905" s="11">
        <v>62935</v>
      </c>
    </row>
    <row r="906" spans="1:1" x14ac:dyDescent="0.35">
      <c r="A906" s="11">
        <v>62945</v>
      </c>
    </row>
    <row r="907" spans="1:1" x14ac:dyDescent="0.35">
      <c r="A907" s="11">
        <v>62984</v>
      </c>
    </row>
    <row r="908" spans="1:1" x14ac:dyDescent="0.35">
      <c r="A908" s="11">
        <v>63074</v>
      </c>
    </row>
    <row r="909" spans="1:1" x14ac:dyDescent="0.35">
      <c r="A909" s="11">
        <v>63109</v>
      </c>
    </row>
    <row r="910" spans="1:1" x14ac:dyDescent="0.35">
      <c r="A910" s="11">
        <v>63130</v>
      </c>
    </row>
    <row r="911" spans="1:1" x14ac:dyDescent="0.35">
      <c r="A911" s="11">
        <v>63143</v>
      </c>
    </row>
    <row r="912" spans="1:1" x14ac:dyDescent="0.35">
      <c r="A912" s="11">
        <v>63148</v>
      </c>
    </row>
    <row r="913" spans="1:1" x14ac:dyDescent="0.35">
      <c r="A913" s="11">
        <v>63183</v>
      </c>
    </row>
    <row r="914" spans="1:1" x14ac:dyDescent="0.35">
      <c r="A914" s="9">
        <v>63190</v>
      </c>
    </row>
    <row r="915" spans="1:1" x14ac:dyDescent="0.35">
      <c r="A915" s="9">
        <v>63226</v>
      </c>
    </row>
    <row r="916" spans="1:1" x14ac:dyDescent="0.35">
      <c r="A916" s="9">
        <v>63227</v>
      </c>
    </row>
    <row r="917" spans="1:1" x14ac:dyDescent="0.35">
      <c r="A917" s="9">
        <v>63272</v>
      </c>
    </row>
    <row r="918" spans="1:1" x14ac:dyDescent="0.35">
      <c r="A918" s="9">
        <v>63300</v>
      </c>
    </row>
    <row r="919" spans="1:1" x14ac:dyDescent="0.35">
      <c r="A919" s="9">
        <v>63310</v>
      </c>
    </row>
    <row r="920" spans="1:1" x14ac:dyDescent="0.35">
      <c r="A920" s="9">
        <v>63334</v>
      </c>
    </row>
    <row r="921" spans="1:1" x14ac:dyDescent="0.35">
      <c r="A921" s="9">
        <v>63439</v>
      </c>
    </row>
    <row r="922" spans="1:1" x14ac:dyDescent="0.35">
      <c r="A922" s="9">
        <v>63474</v>
      </c>
    </row>
    <row r="923" spans="1:1" x14ac:dyDescent="0.35">
      <c r="A923" s="9">
        <v>63495</v>
      </c>
    </row>
    <row r="924" spans="1:1" x14ac:dyDescent="0.35">
      <c r="A924" s="9">
        <v>63508</v>
      </c>
    </row>
    <row r="925" spans="1:1" x14ac:dyDescent="0.35">
      <c r="A925" s="9">
        <v>63513</v>
      </c>
    </row>
    <row r="926" spans="1:1" x14ac:dyDescent="0.35">
      <c r="A926" s="9">
        <v>63548</v>
      </c>
    </row>
    <row r="927" spans="1:1" x14ac:dyDescent="0.35">
      <c r="A927" s="11">
        <v>63555</v>
      </c>
    </row>
    <row r="928" spans="1:1" x14ac:dyDescent="0.35">
      <c r="A928" s="11">
        <v>63611</v>
      </c>
    </row>
    <row r="929" spans="1:1" x14ac:dyDescent="0.35">
      <c r="A929" s="11">
        <v>63612</v>
      </c>
    </row>
    <row r="930" spans="1:1" x14ac:dyDescent="0.35">
      <c r="A930" s="11">
        <v>63657</v>
      </c>
    </row>
    <row r="931" spans="1:1" x14ac:dyDescent="0.35">
      <c r="A931" s="11">
        <v>63665</v>
      </c>
    </row>
    <row r="932" spans="1:1" x14ac:dyDescent="0.35">
      <c r="A932" s="11">
        <v>63675</v>
      </c>
    </row>
    <row r="933" spans="1:1" x14ac:dyDescent="0.35">
      <c r="A933" s="11">
        <v>63719</v>
      </c>
    </row>
    <row r="934" spans="1:1" x14ac:dyDescent="0.35">
      <c r="A934" s="11">
        <v>63804</v>
      </c>
    </row>
    <row r="935" spans="1:1" x14ac:dyDescent="0.35">
      <c r="A935" s="11">
        <v>63839</v>
      </c>
    </row>
    <row r="936" spans="1:1" x14ac:dyDescent="0.35">
      <c r="A936" s="11">
        <v>63860</v>
      </c>
    </row>
    <row r="937" spans="1:1" x14ac:dyDescent="0.35">
      <c r="A937" s="11">
        <v>63873</v>
      </c>
    </row>
    <row r="938" spans="1:1" x14ac:dyDescent="0.35">
      <c r="A938" s="11">
        <v>63878</v>
      </c>
    </row>
    <row r="939" spans="1:1" x14ac:dyDescent="0.35">
      <c r="A939" s="11">
        <v>63913</v>
      </c>
    </row>
    <row r="940" spans="1:1" x14ac:dyDescent="0.35">
      <c r="A940" s="9">
        <v>63920</v>
      </c>
    </row>
    <row r="941" spans="1:1" x14ac:dyDescent="0.35">
      <c r="A941" s="9">
        <v>63968</v>
      </c>
    </row>
    <row r="942" spans="1:1" x14ac:dyDescent="0.35">
      <c r="A942" s="9">
        <v>63969</v>
      </c>
    </row>
    <row r="943" spans="1:1" x14ac:dyDescent="0.35">
      <c r="A943" s="9">
        <v>64014</v>
      </c>
    </row>
    <row r="944" spans="1:1" x14ac:dyDescent="0.35">
      <c r="A944" s="9">
        <v>64030</v>
      </c>
    </row>
    <row r="945" spans="1:1" x14ac:dyDescent="0.35">
      <c r="A945" s="9">
        <v>64040</v>
      </c>
    </row>
    <row r="946" spans="1:1" x14ac:dyDescent="0.35">
      <c r="A946" s="9">
        <v>64076</v>
      </c>
    </row>
    <row r="947" spans="1:1" x14ac:dyDescent="0.35">
      <c r="A947" s="9">
        <v>64169</v>
      </c>
    </row>
    <row r="948" spans="1:1" x14ac:dyDescent="0.35">
      <c r="A948" s="9">
        <v>64204</v>
      </c>
    </row>
    <row r="949" spans="1:1" x14ac:dyDescent="0.35">
      <c r="A949" s="9">
        <v>64225</v>
      </c>
    </row>
    <row r="950" spans="1:1" x14ac:dyDescent="0.35">
      <c r="A950" s="9">
        <v>64238</v>
      </c>
    </row>
    <row r="951" spans="1:1" x14ac:dyDescent="0.35">
      <c r="A951" s="9">
        <v>64243</v>
      </c>
    </row>
    <row r="952" spans="1:1" x14ac:dyDescent="0.35">
      <c r="A952" s="9">
        <v>64278</v>
      </c>
    </row>
    <row r="953" spans="1:1" x14ac:dyDescent="0.35">
      <c r="A953" s="11">
        <v>64285</v>
      </c>
    </row>
    <row r="954" spans="1:1" x14ac:dyDescent="0.35">
      <c r="A954" s="11">
        <v>64346</v>
      </c>
    </row>
    <row r="955" spans="1:1" x14ac:dyDescent="0.35">
      <c r="A955" s="11">
        <v>64347</v>
      </c>
    </row>
    <row r="956" spans="1:1" x14ac:dyDescent="0.35">
      <c r="A956" s="11">
        <v>64392</v>
      </c>
    </row>
    <row r="957" spans="1:1" x14ac:dyDescent="0.35">
      <c r="A957" s="11">
        <v>64396</v>
      </c>
    </row>
    <row r="958" spans="1:1" x14ac:dyDescent="0.35">
      <c r="A958" s="11">
        <v>64406</v>
      </c>
    </row>
    <row r="959" spans="1:1" x14ac:dyDescent="0.35">
      <c r="A959" s="11">
        <v>64454</v>
      </c>
    </row>
    <row r="960" spans="1:1" x14ac:dyDescent="0.35">
      <c r="A960" s="11">
        <v>64535</v>
      </c>
    </row>
    <row r="961" spans="1:1" x14ac:dyDescent="0.35">
      <c r="A961" s="11">
        <v>64570</v>
      </c>
    </row>
    <row r="962" spans="1:1" x14ac:dyDescent="0.35">
      <c r="A962" s="11">
        <v>64591</v>
      </c>
    </row>
    <row r="963" spans="1:1" x14ac:dyDescent="0.35">
      <c r="A963" s="11">
        <v>64604</v>
      </c>
    </row>
    <row r="964" spans="1:1" x14ac:dyDescent="0.35">
      <c r="A964" s="11">
        <v>64609</v>
      </c>
    </row>
    <row r="965" spans="1:1" x14ac:dyDescent="0.35">
      <c r="A965" s="11">
        <v>64644</v>
      </c>
    </row>
    <row r="966" spans="1:1" x14ac:dyDescent="0.35">
      <c r="A966" s="9">
        <v>64651</v>
      </c>
    </row>
    <row r="967" spans="1:1" x14ac:dyDescent="0.35">
      <c r="A967" s="9">
        <v>64703</v>
      </c>
    </row>
    <row r="968" spans="1:1" x14ac:dyDescent="0.35">
      <c r="A968" s="9">
        <v>64704</v>
      </c>
    </row>
    <row r="969" spans="1:1" x14ac:dyDescent="0.35">
      <c r="A969" s="9">
        <v>64749</v>
      </c>
    </row>
    <row r="970" spans="1:1" x14ac:dyDescent="0.35">
      <c r="A970" s="9">
        <v>64761</v>
      </c>
    </row>
    <row r="971" spans="1:1" x14ac:dyDescent="0.35">
      <c r="A971" s="9">
        <v>64771</v>
      </c>
    </row>
    <row r="972" spans="1:1" x14ac:dyDescent="0.35">
      <c r="A972" s="9">
        <v>64811</v>
      </c>
    </row>
    <row r="973" spans="1:1" x14ac:dyDescent="0.35">
      <c r="A973" s="9">
        <v>64900</v>
      </c>
    </row>
    <row r="974" spans="1:1" x14ac:dyDescent="0.35">
      <c r="A974" s="9">
        <v>64935</v>
      </c>
    </row>
    <row r="975" spans="1:1" x14ac:dyDescent="0.35">
      <c r="A975" s="9">
        <v>64956</v>
      </c>
    </row>
    <row r="976" spans="1:1" x14ac:dyDescent="0.35">
      <c r="A976" s="9">
        <v>64969</v>
      </c>
    </row>
    <row r="977" spans="1:1" x14ac:dyDescent="0.35">
      <c r="A977" s="9">
        <v>64974</v>
      </c>
    </row>
    <row r="978" spans="1:1" x14ac:dyDescent="0.35">
      <c r="A978" s="9">
        <v>65009</v>
      </c>
    </row>
    <row r="979" spans="1:1" x14ac:dyDescent="0.35">
      <c r="A979" s="11">
        <v>65016</v>
      </c>
    </row>
    <row r="980" spans="1:1" x14ac:dyDescent="0.35">
      <c r="A980" s="11">
        <v>65060</v>
      </c>
    </row>
    <row r="981" spans="1:1" x14ac:dyDescent="0.35">
      <c r="A981" s="11">
        <v>65061</v>
      </c>
    </row>
    <row r="982" spans="1:1" x14ac:dyDescent="0.35">
      <c r="A982" s="11">
        <v>65106</v>
      </c>
    </row>
    <row r="983" spans="1:1" x14ac:dyDescent="0.35">
      <c r="A983" s="11">
        <v>65126</v>
      </c>
    </row>
    <row r="984" spans="1:1" x14ac:dyDescent="0.35">
      <c r="A984" s="11">
        <v>65136</v>
      </c>
    </row>
    <row r="985" spans="1:1" x14ac:dyDescent="0.35">
      <c r="A985" s="11">
        <v>65168</v>
      </c>
    </row>
    <row r="986" spans="1:1" x14ac:dyDescent="0.35">
      <c r="A986" s="11">
        <v>65265</v>
      </c>
    </row>
    <row r="987" spans="1:1" x14ac:dyDescent="0.35">
      <c r="A987" s="11">
        <v>65300</v>
      </c>
    </row>
    <row r="988" spans="1:1" x14ac:dyDescent="0.35">
      <c r="A988" s="11">
        <v>65321</v>
      </c>
    </row>
    <row r="989" spans="1:1" x14ac:dyDescent="0.35">
      <c r="A989" s="11">
        <v>65334</v>
      </c>
    </row>
    <row r="990" spans="1:1" x14ac:dyDescent="0.35">
      <c r="A990" s="11">
        <v>65339</v>
      </c>
    </row>
    <row r="991" spans="1:1" x14ac:dyDescent="0.35">
      <c r="A991" s="11">
        <v>65374</v>
      </c>
    </row>
    <row r="992" spans="1:1" x14ac:dyDescent="0.35">
      <c r="A992" s="9">
        <v>65381</v>
      </c>
    </row>
    <row r="993" spans="1:1" x14ac:dyDescent="0.35">
      <c r="A993" s="9">
        <v>65445</v>
      </c>
    </row>
    <row r="994" spans="1:1" x14ac:dyDescent="0.35">
      <c r="A994" s="9">
        <v>65446</v>
      </c>
    </row>
    <row r="995" spans="1:1" x14ac:dyDescent="0.35">
      <c r="A995" s="9">
        <v>65491</v>
      </c>
    </row>
    <row r="996" spans="1:1" x14ac:dyDescent="0.35">
      <c r="A996" s="9">
        <v>65491</v>
      </c>
    </row>
    <row r="997" spans="1:1" x14ac:dyDescent="0.35">
      <c r="A997" s="9">
        <v>65501</v>
      </c>
    </row>
    <row r="998" spans="1:1" x14ac:dyDescent="0.35">
      <c r="A998" s="9">
        <v>65553</v>
      </c>
    </row>
    <row r="999" spans="1:1" x14ac:dyDescent="0.35">
      <c r="A999" s="9">
        <v>65630</v>
      </c>
    </row>
    <row r="1000" spans="1:1" x14ac:dyDescent="0.35">
      <c r="A1000" s="9">
        <v>65665</v>
      </c>
    </row>
    <row r="1001" spans="1:1" x14ac:dyDescent="0.35">
      <c r="A1001" s="9">
        <v>65686</v>
      </c>
    </row>
    <row r="1002" spans="1:1" x14ac:dyDescent="0.35">
      <c r="A1002" s="9">
        <v>65699</v>
      </c>
    </row>
    <row r="1003" spans="1:1" x14ac:dyDescent="0.35">
      <c r="A1003" s="9">
        <v>65704</v>
      </c>
    </row>
    <row r="1004" spans="1:1" x14ac:dyDescent="0.35">
      <c r="A1004" s="9">
        <v>65739</v>
      </c>
    </row>
    <row r="1005" spans="1:1" x14ac:dyDescent="0.35">
      <c r="A1005" s="11">
        <v>65746</v>
      </c>
    </row>
    <row r="1006" spans="1:1" x14ac:dyDescent="0.35">
      <c r="A1006" s="11">
        <v>65795</v>
      </c>
    </row>
    <row r="1007" spans="1:1" x14ac:dyDescent="0.35">
      <c r="A1007" s="11">
        <v>65796</v>
      </c>
    </row>
    <row r="1008" spans="1:1" x14ac:dyDescent="0.35">
      <c r="A1008" s="11">
        <v>65841</v>
      </c>
    </row>
    <row r="1009" spans="1:1" x14ac:dyDescent="0.35">
      <c r="A1009" s="11">
        <v>65857</v>
      </c>
    </row>
    <row r="1010" spans="1:1" x14ac:dyDescent="0.35">
      <c r="A1010" s="11">
        <v>65867</v>
      </c>
    </row>
    <row r="1011" spans="1:1" x14ac:dyDescent="0.35">
      <c r="A1011" s="11">
        <v>65903</v>
      </c>
    </row>
    <row r="1012" spans="1:1" x14ac:dyDescent="0.35">
      <c r="A1012" s="11">
        <v>65996</v>
      </c>
    </row>
    <row r="1013" spans="1:1" x14ac:dyDescent="0.35">
      <c r="A1013" s="11">
        <v>66031</v>
      </c>
    </row>
    <row r="1014" spans="1:1" x14ac:dyDescent="0.35">
      <c r="A1014" s="11">
        <v>66052</v>
      </c>
    </row>
    <row r="1015" spans="1:1" x14ac:dyDescent="0.35">
      <c r="A1015" s="11">
        <v>66065</v>
      </c>
    </row>
    <row r="1016" spans="1:1" x14ac:dyDescent="0.35">
      <c r="A1016" s="11">
        <v>66070</v>
      </c>
    </row>
    <row r="1017" spans="1:1" x14ac:dyDescent="0.35">
      <c r="A1017" s="11">
        <v>66105</v>
      </c>
    </row>
    <row r="1018" spans="1:1" x14ac:dyDescent="0.35">
      <c r="A1018" s="9">
        <v>66112</v>
      </c>
    </row>
    <row r="1019" spans="1:1" x14ac:dyDescent="0.35">
      <c r="A1019" s="9">
        <v>66152</v>
      </c>
    </row>
    <row r="1020" spans="1:1" x14ac:dyDescent="0.35">
      <c r="A1020" s="9">
        <v>66153</v>
      </c>
    </row>
    <row r="1021" spans="1:1" x14ac:dyDescent="0.35">
      <c r="A1021" s="9">
        <v>66198</v>
      </c>
    </row>
    <row r="1022" spans="1:1" x14ac:dyDescent="0.35">
      <c r="A1022" s="9">
        <v>66222</v>
      </c>
    </row>
    <row r="1023" spans="1:1" x14ac:dyDescent="0.35">
      <c r="A1023" s="9">
        <v>66232</v>
      </c>
    </row>
    <row r="1024" spans="1:1" x14ac:dyDescent="0.35">
      <c r="A1024" s="9">
        <v>66260</v>
      </c>
    </row>
    <row r="1025" spans="1:1" x14ac:dyDescent="0.35">
      <c r="A1025" s="9">
        <v>66361</v>
      </c>
    </row>
    <row r="1026" spans="1:1" x14ac:dyDescent="0.35">
      <c r="A1026" s="9">
        <v>66396</v>
      </c>
    </row>
    <row r="1027" spans="1:1" x14ac:dyDescent="0.35">
      <c r="A1027" s="9">
        <v>66417</v>
      </c>
    </row>
    <row r="1028" spans="1:1" x14ac:dyDescent="0.35">
      <c r="A1028" s="9">
        <v>66430</v>
      </c>
    </row>
    <row r="1029" spans="1:1" x14ac:dyDescent="0.35">
      <c r="A1029" s="9">
        <v>66435</v>
      </c>
    </row>
    <row r="1030" spans="1:1" x14ac:dyDescent="0.35">
      <c r="A1030" s="9">
        <v>66470</v>
      </c>
    </row>
    <row r="1031" spans="1:1" x14ac:dyDescent="0.35">
      <c r="A1031" s="11">
        <v>66477</v>
      </c>
    </row>
    <row r="1032" spans="1:1" x14ac:dyDescent="0.35">
      <c r="A1032" s="11">
        <v>66537</v>
      </c>
    </row>
    <row r="1033" spans="1:1" x14ac:dyDescent="0.35">
      <c r="A1033" s="11">
        <v>66538</v>
      </c>
    </row>
    <row r="1034" spans="1:1" x14ac:dyDescent="0.35">
      <c r="A1034" s="11">
        <v>66583</v>
      </c>
    </row>
    <row r="1035" spans="1:1" x14ac:dyDescent="0.35">
      <c r="A1035" s="11">
        <v>66587</v>
      </c>
    </row>
    <row r="1036" spans="1:1" x14ac:dyDescent="0.35">
      <c r="A1036" s="11">
        <v>66597</v>
      </c>
    </row>
    <row r="1037" spans="1:1" x14ac:dyDescent="0.35">
      <c r="A1037" s="11">
        <v>66645</v>
      </c>
    </row>
    <row r="1038" spans="1:1" x14ac:dyDescent="0.35">
      <c r="A1038" s="11">
        <v>66726</v>
      </c>
    </row>
    <row r="1039" spans="1:1" x14ac:dyDescent="0.35">
      <c r="A1039" s="11">
        <v>66761</v>
      </c>
    </row>
    <row r="1040" spans="1:1" x14ac:dyDescent="0.35">
      <c r="A1040" s="11">
        <v>66782</v>
      </c>
    </row>
    <row r="1041" spans="1:1" x14ac:dyDescent="0.35">
      <c r="A1041" s="11">
        <v>66795</v>
      </c>
    </row>
    <row r="1042" spans="1:1" x14ac:dyDescent="0.35">
      <c r="A1042" s="11">
        <v>66800</v>
      </c>
    </row>
    <row r="1043" spans="1:1" x14ac:dyDescent="0.35">
      <c r="A1043" s="11">
        <v>66835</v>
      </c>
    </row>
    <row r="1044" spans="1:1" x14ac:dyDescent="0.35">
      <c r="A1044" s="9">
        <v>66842</v>
      </c>
    </row>
    <row r="1045" spans="1:1" x14ac:dyDescent="0.35">
      <c r="A1045" s="9">
        <v>66887</v>
      </c>
    </row>
    <row r="1046" spans="1:1" x14ac:dyDescent="0.35">
      <c r="A1046" s="9">
        <v>66888</v>
      </c>
    </row>
    <row r="1047" spans="1:1" x14ac:dyDescent="0.35">
      <c r="A1047" s="9">
        <v>66933</v>
      </c>
    </row>
    <row r="1048" spans="1:1" x14ac:dyDescent="0.35">
      <c r="A1048" s="9">
        <v>66952</v>
      </c>
    </row>
    <row r="1049" spans="1:1" x14ac:dyDescent="0.35">
      <c r="A1049" s="9">
        <v>66962</v>
      </c>
    </row>
    <row r="1050" spans="1:1" x14ac:dyDescent="0.35">
      <c r="A1050" s="9">
        <v>66995</v>
      </c>
    </row>
    <row r="1051" spans="1:1" x14ac:dyDescent="0.35">
      <c r="A1051" s="9">
        <v>67091</v>
      </c>
    </row>
    <row r="1052" spans="1:1" x14ac:dyDescent="0.35">
      <c r="A1052" s="9">
        <v>67126</v>
      </c>
    </row>
    <row r="1053" spans="1:1" x14ac:dyDescent="0.35">
      <c r="A1053" s="9">
        <v>67147</v>
      </c>
    </row>
    <row r="1054" spans="1:1" x14ac:dyDescent="0.35">
      <c r="A1054" s="9">
        <v>67160</v>
      </c>
    </row>
    <row r="1055" spans="1:1" x14ac:dyDescent="0.35">
      <c r="A1055" s="9">
        <v>67165</v>
      </c>
    </row>
    <row r="1056" spans="1:1" x14ac:dyDescent="0.35">
      <c r="A1056" s="9">
        <v>67200</v>
      </c>
    </row>
    <row r="1057" spans="1:1" x14ac:dyDescent="0.35">
      <c r="A1057" s="11">
        <v>67207</v>
      </c>
    </row>
    <row r="1058" spans="1:1" x14ac:dyDescent="0.35">
      <c r="A1058" s="11">
        <v>67244</v>
      </c>
    </row>
    <row r="1059" spans="1:1" x14ac:dyDescent="0.35">
      <c r="A1059" s="11">
        <v>67245</v>
      </c>
    </row>
    <row r="1060" spans="1:1" x14ac:dyDescent="0.35">
      <c r="A1060" s="11">
        <v>67290</v>
      </c>
    </row>
    <row r="1061" spans="1:1" x14ac:dyDescent="0.35">
      <c r="A1061" s="11">
        <v>67318</v>
      </c>
    </row>
    <row r="1062" spans="1:1" x14ac:dyDescent="0.35">
      <c r="A1062" s="11">
        <v>67328</v>
      </c>
    </row>
    <row r="1063" spans="1:1" x14ac:dyDescent="0.35">
      <c r="A1063" s="11">
        <v>67352</v>
      </c>
    </row>
    <row r="1064" spans="1:1" x14ac:dyDescent="0.35">
      <c r="A1064" s="11">
        <v>67457</v>
      </c>
    </row>
    <row r="1065" spans="1:1" x14ac:dyDescent="0.35">
      <c r="A1065" s="11">
        <v>67492</v>
      </c>
    </row>
    <row r="1066" spans="1:1" x14ac:dyDescent="0.35">
      <c r="A1066" s="11">
        <v>67513</v>
      </c>
    </row>
    <row r="1067" spans="1:1" x14ac:dyDescent="0.35">
      <c r="A1067" s="11">
        <v>67526</v>
      </c>
    </row>
    <row r="1068" spans="1:1" x14ac:dyDescent="0.35">
      <c r="A1068" s="11">
        <v>67531</v>
      </c>
    </row>
    <row r="1069" spans="1:1" x14ac:dyDescent="0.35">
      <c r="A1069" s="11">
        <v>67566</v>
      </c>
    </row>
    <row r="1070" spans="1:1" x14ac:dyDescent="0.35">
      <c r="A1070" s="9">
        <v>67573</v>
      </c>
    </row>
    <row r="1071" spans="1:1" x14ac:dyDescent="0.35">
      <c r="A1071" s="9">
        <v>67629</v>
      </c>
    </row>
    <row r="1072" spans="1:1" x14ac:dyDescent="0.35">
      <c r="A1072" s="9">
        <v>67630</v>
      </c>
    </row>
    <row r="1073" spans="1:1" x14ac:dyDescent="0.35">
      <c r="A1073" s="9">
        <v>67675</v>
      </c>
    </row>
    <row r="1074" spans="1:1" x14ac:dyDescent="0.35">
      <c r="A1074" s="9">
        <v>67683</v>
      </c>
    </row>
    <row r="1075" spans="1:1" x14ac:dyDescent="0.35">
      <c r="A1075" s="9">
        <v>67693</v>
      </c>
    </row>
    <row r="1076" spans="1:1" x14ac:dyDescent="0.35">
      <c r="A1076" s="9">
        <v>67737</v>
      </c>
    </row>
    <row r="1077" spans="1:1" x14ac:dyDescent="0.35">
      <c r="A1077" s="9">
        <v>67822</v>
      </c>
    </row>
    <row r="1078" spans="1:1" x14ac:dyDescent="0.35">
      <c r="A1078" s="9">
        <v>67857</v>
      </c>
    </row>
    <row r="1079" spans="1:1" x14ac:dyDescent="0.35">
      <c r="A1079" s="9">
        <v>67878</v>
      </c>
    </row>
    <row r="1080" spans="1:1" x14ac:dyDescent="0.35">
      <c r="A1080" s="9">
        <v>67891</v>
      </c>
    </row>
    <row r="1081" spans="1:1" x14ac:dyDescent="0.35">
      <c r="A1081" s="9">
        <v>67896</v>
      </c>
    </row>
    <row r="1082" spans="1:1" x14ac:dyDescent="0.35">
      <c r="A1082" s="9">
        <v>67931</v>
      </c>
    </row>
    <row r="1083" spans="1:1" x14ac:dyDescent="0.35">
      <c r="A1083" s="11">
        <v>67938</v>
      </c>
    </row>
    <row r="1084" spans="1:1" x14ac:dyDescent="0.35">
      <c r="A1084" s="11">
        <v>67979</v>
      </c>
    </row>
    <row r="1085" spans="1:1" x14ac:dyDescent="0.35">
      <c r="A1085" s="11">
        <v>67980</v>
      </c>
    </row>
    <row r="1086" spans="1:1" x14ac:dyDescent="0.35">
      <c r="A1086" s="11">
        <v>68025</v>
      </c>
    </row>
    <row r="1087" spans="1:1" x14ac:dyDescent="0.35">
      <c r="A1087" s="11">
        <v>68048</v>
      </c>
    </row>
    <row r="1088" spans="1:1" x14ac:dyDescent="0.35">
      <c r="A1088" s="11">
        <v>68058</v>
      </c>
    </row>
    <row r="1089" spans="1:1" x14ac:dyDescent="0.35">
      <c r="A1089" s="11">
        <v>68087</v>
      </c>
    </row>
    <row r="1090" spans="1:1" x14ac:dyDescent="0.35">
      <c r="A1090" s="11">
        <v>68187</v>
      </c>
    </row>
    <row r="1091" spans="1:1" x14ac:dyDescent="0.35">
      <c r="A1091" s="11">
        <v>68222</v>
      </c>
    </row>
    <row r="1092" spans="1:1" x14ac:dyDescent="0.35">
      <c r="A1092" s="11">
        <v>68243</v>
      </c>
    </row>
    <row r="1093" spans="1:1" x14ac:dyDescent="0.35">
      <c r="A1093" s="11">
        <v>68256</v>
      </c>
    </row>
    <row r="1094" spans="1:1" x14ac:dyDescent="0.35">
      <c r="A1094" s="11">
        <v>68261</v>
      </c>
    </row>
    <row r="1095" spans="1:1" x14ac:dyDescent="0.35">
      <c r="A1095" s="11">
        <v>68296</v>
      </c>
    </row>
    <row r="1096" spans="1:1" x14ac:dyDescent="0.35">
      <c r="A1096" s="9">
        <v>68303</v>
      </c>
    </row>
    <row r="1097" spans="1:1" x14ac:dyDescent="0.35">
      <c r="A1097" s="9">
        <v>68364</v>
      </c>
    </row>
    <row r="1098" spans="1:1" x14ac:dyDescent="0.35">
      <c r="A1098" s="9">
        <v>68365</v>
      </c>
    </row>
    <row r="1099" spans="1:1" x14ac:dyDescent="0.35">
      <c r="A1099" s="9">
        <v>68410</v>
      </c>
    </row>
    <row r="1100" spans="1:1" x14ac:dyDescent="0.35">
      <c r="A1100" s="9">
        <v>68413</v>
      </c>
    </row>
    <row r="1101" spans="1:1" x14ac:dyDescent="0.35">
      <c r="A1101" s="9">
        <v>68423</v>
      </c>
    </row>
    <row r="1102" spans="1:1" x14ac:dyDescent="0.35">
      <c r="A1102" s="9">
        <v>68472</v>
      </c>
    </row>
    <row r="1103" spans="1:1" x14ac:dyDescent="0.35">
      <c r="A1103" s="9">
        <v>68552</v>
      </c>
    </row>
    <row r="1104" spans="1:1" x14ac:dyDescent="0.35">
      <c r="A1104" s="9">
        <v>68587</v>
      </c>
    </row>
    <row r="1105" spans="1:1" x14ac:dyDescent="0.35">
      <c r="A1105" s="9">
        <v>68608</v>
      </c>
    </row>
    <row r="1106" spans="1:1" x14ac:dyDescent="0.35">
      <c r="A1106" s="9">
        <v>68621</v>
      </c>
    </row>
    <row r="1107" spans="1:1" x14ac:dyDescent="0.35">
      <c r="A1107" s="9">
        <v>68626</v>
      </c>
    </row>
    <row r="1108" spans="1:1" x14ac:dyDescent="0.35">
      <c r="A1108" s="9">
        <v>68661</v>
      </c>
    </row>
    <row r="1109" spans="1:1" x14ac:dyDescent="0.35">
      <c r="A1109" s="11">
        <v>68668</v>
      </c>
    </row>
    <row r="1110" spans="1:1" x14ac:dyDescent="0.35">
      <c r="A1110" s="11">
        <v>68721</v>
      </c>
    </row>
    <row r="1111" spans="1:1" x14ac:dyDescent="0.35">
      <c r="A1111" s="11">
        <v>68722</v>
      </c>
    </row>
    <row r="1112" spans="1:1" x14ac:dyDescent="0.35">
      <c r="A1112" s="11">
        <v>68767</v>
      </c>
    </row>
    <row r="1113" spans="1:1" x14ac:dyDescent="0.35">
      <c r="A1113" s="11">
        <v>68779</v>
      </c>
    </row>
    <row r="1114" spans="1:1" x14ac:dyDescent="0.35">
      <c r="A1114" s="11">
        <v>68789</v>
      </c>
    </row>
    <row r="1115" spans="1:1" x14ac:dyDescent="0.35">
      <c r="A1115" s="11">
        <v>68829</v>
      </c>
    </row>
    <row r="1116" spans="1:1" x14ac:dyDescent="0.35">
      <c r="A1116" s="11">
        <v>68918</v>
      </c>
    </row>
    <row r="1117" spans="1:1" x14ac:dyDescent="0.35">
      <c r="A1117" s="11">
        <v>68953</v>
      </c>
    </row>
    <row r="1118" spans="1:1" x14ac:dyDescent="0.35">
      <c r="A1118" s="11">
        <v>68974</v>
      </c>
    </row>
    <row r="1119" spans="1:1" x14ac:dyDescent="0.35">
      <c r="A1119" s="11">
        <v>68987</v>
      </c>
    </row>
    <row r="1120" spans="1:1" x14ac:dyDescent="0.35">
      <c r="A1120" s="11">
        <v>68992</v>
      </c>
    </row>
    <row r="1121" spans="1:1" x14ac:dyDescent="0.35">
      <c r="A1121" s="11">
        <v>69027</v>
      </c>
    </row>
    <row r="1122" spans="1:1" x14ac:dyDescent="0.35">
      <c r="A1122" s="9">
        <v>69034</v>
      </c>
    </row>
    <row r="1123" spans="1:1" x14ac:dyDescent="0.35">
      <c r="A1123" s="9">
        <v>69078</v>
      </c>
    </row>
    <row r="1124" spans="1:1" x14ac:dyDescent="0.35">
      <c r="A1124" s="9">
        <v>69079</v>
      </c>
    </row>
    <row r="1125" spans="1:1" x14ac:dyDescent="0.35">
      <c r="A1125" s="9">
        <v>69124</v>
      </c>
    </row>
    <row r="1126" spans="1:1" x14ac:dyDescent="0.35">
      <c r="A1126" s="9">
        <v>69144</v>
      </c>
    </row>
    <row r="1127" spans="1:1" x14ac:dyDescent="0.35">
      <c r="A1127" s="9">
        <v>69154</v>
      </c>
    </row>
    <row r="1128" spans="1:1" x14ac:dyDescent="0.35">
      <c r="A1128" s="9">
        <v>69186</v>
      </c>
    </row>
    <row r="1129" spans="1:1" x14ac:dyDescent="0.35">
      <c r="A1129" s="9">
        <v>69283</v>
      </c>
    </row>
    <row r="1130" spans="1:1" x14ac:dyDescent="0.35">
      <c r="A1130" s="9">
        <v>69318</v>
      </c>
    </row>
    <row r="1131" spans="1:1" x14ac:dyDescent="0.35">
      <c r="A1131" s="9">
        <v>69339</v>
      </c>
    </row>
    <row r="1132" spans="1:1" x14ac:dyDescent="0.35">
      <c r="A1132" s="9">
        <v>69352</v>
      </c>
    </row>
    <row r="1133" spans="1:1" x14ac:dyDescent="0.35">
      <c r="A1133" s="9">
        <v>69357</v>
      </c>
    </row>
    <row r="1134" spans="1:1" x14ac:dyDescent="0.35">
      <c r="A1134" s="9">
        <v>69392</v>
      </c>
    </row>
    <row r="1135" spans="1:1" x14ac:dyDescent="0.35">
      <c r="A1135" s="11">
        <v>69399</v>
      </c>
    </row>
    <row r="1136" spans="1:1" x14ac:dyDescent="0.35">
      <c r="A1136" s="11">
        <v>69456</v>
      </c>
    </row>
    <row r="1137" spans="1:1" x14ac:dyDescent="0.35">
      <c r="A1137" s="11">
        <v>69457</v>
      </c>
    </row>
    <row r="1138" spans="1:1" x14ac:dyDescent="0.35">
      <c r="A1138" s="11">
        <v>69502</v>
      </c>
    </row>
    <row r="1139" spans="1:1" x14ac:dyDescent="0.35">
      <c r="A1139" s="11">
        <v>69509</v>
      </c>
    </row>
    <row r="1140" spans="1:1" x14ac:dyDescent="0.35">
      <c r="A1140" s="11">
        <v>69519</v>
      </c>
    </row>
    <row r="1141" spans="1:1" x14ac:dyDescent="0.35">
      <c r="A1141" s="11">
        <v>69564</v>
      </c>
    </row>
    <row r="1142" spans="1:1" x14ac:dyDescent="0.35">
      <c r="A1142" s="11">
        <v>69648</v>
      </c>
    </row>
    <row r="1143" spans="1:1" x14ac:dyDescent="0.35">
      <c r="A1143" s="11">
        <v>69683</v>
      </c>
    </row>
    <row r="1144" spans="1:1" x14ac:dyDescent="0.35">
      <c r="A1144" s="11">
        <v>69704</v>
      </c>
    </row>
    <row r="1145" spans="1:1" x14ac:dyDescent="0.35">
      <c r="A1145" s="11">
        <v>69717</v>
      </c>
    </row>
    <row r="1146" spans="1:1" x14ac:dyDescent="0.35">
      <c r="A1146" s="11">
        <v>69722</v>
      </c>
    </row>
    <row r="1147" spans="1:1" x14ac:dyDescent="0.35">
      <c r="A1147" s="11">
        <v>69757</v>
      </c>
    </row>
    <row r="1148" spans="1:1" x14ac:dyDescent="0.35">
      <c r="A1148" s="9">
        <v>69764</v>
      </c>
    </row>
    <row r="1149" spans="1:1" x14ac:dyDescent="0.35">
      <c r="A1149" s="9">
        <v>69813</v>
      </c>
    </row>
    <row r="1150" spans="1:1" x14ac:dyDescent="0.35">
      <c r="A1150" s="9">
        <v>69814</v>
      </c>
    </row>
    <row r="1151" spans="1:1" x14ac:dyDescent="0.35">
      <c r="A1151" s="9">
        <v>69859</v>
      </c>
    </row>
    <row r="1152" spans="1:1" x14ac:dyDescent="0.35">
      <c r="A1152" s="9">
        <v>69874</v>
      </c>
    </row>
    <row r="1153" spans="1:1" x14ac:dyDescent="0.35">
      <c r="A1153" s="9">
        <v>69884</v>
      </c>
    </row>
    <row r="1154" spans="1:1" x14ac:dyDescent="0.35">
      <c r="A1154" s="9">
        <v>69921</v>
      </c>
    </row>
    <row r="1155" spans="1:1" x14ac:dyDescent="0.35">
      <c r="A1155" s="9">
        <v>70013</v>
      </c>
    </row>
    <row r="1156" spans="1:1" x14ac:dyDescent="0.35">
      <c r="A1156" s="9">
        <v>70048</v>
      </c>
    </row>
    <row r="1157" spans="1:1" x14ac:dyDescent="0.35">
      <c r="A1157" s="9">
        <v>70069</v>
      </c>
    </row>
    <row r="1158" spans="1:1" x14ac:dyDescent="0.35">
      <c r="A1158" s="9">
        <v>70082</v>
      </c>
    </row>
    <row r="1159" spans="1:1" x14ac:dyDescent="0.35">
      <c r="A1159" s="9">
        <v>70087</v>
      </c>
    </row>
    <row r="1160" spans="1:1" x14ac:dyDescent="0.35">
      <c r="A1160" s="9">
        <v>70122</v>
      </c>
    </row>
    <row r="1161" spans="1:1" x14ac:dyDescent="0.35">
      <c r="A1161" s="11">
        <v>70129</v>
      </c>
    </row>
    <row r="1162" spans="1:1" x14ac:dyDescent="0.35">
      <c r="A1162" s="11">
        <v>70170</v>
      </c>
    </row>
    <row r="1163" spans="1:1" x14ac:dyDescent="0.35">
      <c r="A1163" s="11">
        <v>70171</v>
      </c>
    </row>
    <row r="1164" spans="1:1" x14ac:dyDescent="0.35">
      <c r="A1164" s="11">
        <v>70216</v>
      </c>
    </row>
    <row r="1165" spans="1:1" x14ac:dyDescent="0.35">
      <c r="A1165" s="11">
        <v>70240</v>
      </c>
    </row>
    <row r="1166" spans="1:1" x14ac:dyDescent="0.35">
      <c r="A1166" s="11">
        <v>70250</v>
      </c>
    </row>
    <row r="1167" spans="1:1" x14ac:dyDescent="0.35">
      <c r="A1167" s="11">
        <v>70278</v>
      </c>
    </row>
    <row r="1168" spans="1:1" x14ac:dyDescent="0.35">
      <c r="A1168" s="11">
        <v>70379</v>
      </c>
    </row>
    <row r="1169" spans="1:1" x14ac:dyDescent="0.35">
      <c r="A1169" s="11">
        <v>70414</v>
      </c>
    </row>
    <row r="1170" spans="1:1" x14ac:dyDescent="0.35">
      <c r="A1170" s="11">
        <v>70435</v>
      </c>
    </row>
    <row r="1171" spans="1:1" x14ac:dyDescent="0.35">
      <c r="A1171" s="11">
        <v>70448</v>
      </c>
    </row>
    <row r="1172" spans="1:1" x14ac:dyDescent="0.35">
      <c r="A1172" s="11">
        <v>70453</v>
      </c>
    </row>
    <row r="1173" spans="1:1" x14ac:dyDescent="0.35">
      <c r="A1173" s="11">
        <v>70488</v>
      </c>
    </row>
    <row r="1174" spans="1:1" x14ac:dyDescent="0.35">
      <c r="A1174" s="9">
        <v>70495</v>
      </c>
    </row>
    <row r="1175" spans="1:1" x14ac:dyDescent="0.35">
      <c r="A1175" s="9">
        <v>70548</v>
      </c>
    </row>
    <row r="1176" spans="1:1" x14ac:dyDescent="0.35">
      <c r="A1176" s="9">
        <v>70549</v>
      </c>
    </row>
    <row r="1177" spans="1:1" x14ac:dyDescent="0.35">
      <c r="A1177" s="9">
        <v>70594</v>
      </c>
    </row>
    <row r="1178" spans="1:1" x14ac:dyDescent="0.35">
      <c r="A1178" s="9">
        <v>70605</v>
      </c>
    </row>
    <row r="1179" spans="1:1" x14ac:dyDescent="0.35">
      <c r="A1179" s="9">
        <v>70615</v>
      </c>
    </row>
    <row r="1180" spans="1:1" x14ac:dyDescent="0.35">
      <c r="A1180" s="9">
        <v>70656</v>
      </c>
    </row>
    <row r="1181" spans="1:1" x14ac:dyDescent="0.35">
      <c r="A1181" s="9">
        <v>70744</v>
      </c>
    </row>
    <row r="1182" spans="1:1" x14ac:dyDescent="0.35">
      <c r="A1182" s="9">
        <v>70779</v>
      </c>
    </row>
    <row r="1183" spans="1:1" x14ac:dyDescent="0.35">
      <c r="A1183" s="9">
        <v>70800</v>
      </c>
    </row>
    <row r="1184" spans="1:1" x14ac:dyDescent="0.35">
      <c r="A1184" s="9">
        <v>70813</v>
      </c>
    </row>
    <row r="1185" spans="1:1" x14ac:dyDescent="0.35">
      <c r="A1185" s="9">
        <v>70818</v>
      </c>
    </row>
    <row r="1186" spans="1:1" x14ac:dyDescent="0.35">
      <c r="A1186" s="9">
        <v>70853</v>
      </c>
    </row>
    <row r="1187" spans="1:1" x14ac:dyDescent="0.35">
      <c r="A1187" s="11">
        <v>70860</v>
      </c>
    </row>
    <row r="1188" spans="1:1" x14ac:dyDescent="0.35">
      <c r="A1188" s="11">
        <v>70905</v>
      </c>
    </row>
    <row r="1189" spans="1:1" x14ac:dyDescent="0.35">
      <c r="A1189" s="11">
        <v>70906</v>
      </c>
    </row>
    <row r="1190" spans="1:1" x14ac:dyDescent="0.35">
      <c r="A1190" s="11">
        <v>70951</v>
      </c>
    </row>
    <row r="1191" spans="1:1" x14ac:dyDescent="0.35">
      <c r="A1191" s="11">
        <v>70970</v>
      </c>
    </row>
    <row r="1192" spans="1:1" x14ac:dyDescent="0.35">
      <c r="A1192" s="11">
        <v>70980</v>
      </c>
    </row>
    <row r="1193" spans="1:1" x14ac:dyDescent="0.35">
      <c r="A1193" s="11">
        <v>71013</v>
      </c>
    </row>
    <row r="1194" spans="1:1" x14ac:dyDescent="0.35">
      <c r="A1194" s="11">
        <v>71109</v>
      </c>
    </row>
    <row r="1195" spans="1:1" x14ac:dyDescent="0.35">
      <c r="A1195" s="11">
        <v>71144</v>
      </c>
    </row>
    <row r="1196" spans="1:1" x14ac:dyDescent="0.35">
      <c r="A1196" s="11">
        <v>71165</v>
      </c>
    </row>
    <row r="1197" spans="1:1" x14ac:dyDescent="0.35">
      <c r="A1197" s="11">
        <v>71178</v>
      </c>
    </row>
    <row r="1198" spans="1:1" x14ac:dyDescent="0.35">
      <c r="A1198" s="11">
        <v>71183</v>
      </c>
    </row>
    <row r="1199" spans="1:1" x14ac:dyDescent="0.35">
      <c r="A1199" s="11">
        <v>71218</v>
      </c>
    </row>
    <row r="1200" spans="1:1" x14ac:dyDescent="0.35">
      <c r="A1200" s="9">
        <v>71225</v>
      </c>
    </row>
    <row r="1201" spans="1:1" x14ac:dyDescent="0.35">
      <c r="A1201" s="9">
        <v>71290</v>
      </c>
    </row>
    <row r="1202" spans="1:1" x14ac:dyDescent="0.35">
      <c r="A1202" s="9">
        <v>71291</v>
      </c>
    </row>
    <row r="1203" spans="1:1" x14ac:dyDescent="0.35">
      <c r="A1203" s="9">
        <v>71335</v>
      </c>
    </row>
    <row r="1204" spans="1:1" x14ac:dyDescent="0.35">
      <c r="A1204" s="9">
        <v>71336</v>
      </c>
    </row>
    <row r="1205" spans="1:1" x14ac:dyDescent="0.35">
      <c r="A1205" s="9">
        <v>71345</v>
      </c>
    </row>
    <row r="1206" spans="1:1" x14ac:dyDescent="0.35">
      <c r="A1206" s="9">
        <v>71398</v>
      </c>
    </row>
    <row r="1207" spans="1:1" x14ac:dyDescent="0.35">
      <c r="A1207" s="9">
        <v>71474</v>
      </c>
    </row>
    <row r="1208" spans="1:1" x14ac:dyDescent="0.35">
      <c r="A1208" s="9">
        <v>71509</v>
      </c>
    </row>
    <row r="1209" spans="1:1" x14ac:dyDescent="0.35">
      <c r="A1209" s="9">
        <v>71530</v>
      </c>
    </row>
    <row r="1210" spans="1:1" x14ac:dyDescent="0.35">
      <c r="A1210" s="9">
        <v>71543</v>
      </c>
    </row>
    <row r="1211" spans="1:1" x14ac:dyDescent="0.35">
      <c r="A1211" s="9">
        <v>71548</v>
      </c>
    </row>
    <row r="1212" spans="1:1" x14ac:dyDescent="0.35">
      <c r="A1212" s="9">
        <v>71583</v>
      </c>
    </row>
    <row r="1213" spans="1:1" x14ac:dyDescent="0.35">
      <c r="A1213" s="11">
        <v>71590</v>
      </c>
    </row>
    <row r="1214" spans="1:1" x14ac:dyDescent="0.35">
      <c r="A1214" s="11">
        <v>71647</v>
      </c>
    </row>
    <row r="1215" spans="1:1" x14ac:dyDescent="0.35">
      <c r="A1215" s="11">
        <v>71648</v>
      </c>
    </row>
    <row r="1216" spans="1:1" x14ac:dyDescent="0.35">
      <c r="A1216" s="11">
        <v>71693</v>
      </c>
    </row>
    <row r="1217" spans="1:1" x14ac:dyDescent="0.35">
      <c r="A1217" s="11">
        <v>71701</v>
      </c>
    </row>
    <row r="1218" spans="1:1" x14ac:dyDescent="0.35">
      <c r="A1218" s="11">
        <v>71711</v>
      </c>
    </row>
    <row r="1219" spans="1:1" x14ac:dyDescent="0.35">
      <c r="A1219" s="11">
        <v>71755</v>
      </c>
    </row>
    <row r="1220" spans="1:1" x14ac:dyDescent="0.35">
      <c r="A1220" s="11">
        <v>71840</v>
      </c>
    </row>
    <row r="1221" spans="1:1" x14ac:dyDescent="0.35">
      <c r="A1221" s="11">
        <v>71875</v>
      </c>
    </row>
    <row r="1222" spans="1:1" x14ac:dyDescent="0.35">
      <c r="A1222" s="11">
        <v>71896</v>
      </c>
    </row>
    <row r="1223" spans="1:1" x14ac:dyDescent="0.35">
      <c r="A1223" s="11">
        <v>71909</v>
      </c>
    </row>
    <row r="1224" spans="1:1" x14ac:dyDescent="0.35">
      <c r="A1224" s="11">
        <v>71914</v>
      </c>
    </row>
    <row r="1225" spans="1:1" x14ac:dyDescent="0.35">
      <c r="A1225" s="11">
        <v>71949</v>
      </c>
    </row>
    <row r="1226" spans="1:1" x14ac:dyDescent="0.35">
      <c r="A1226" s="9">
        <v>71956</v>
      </c>
    </row>
    <row r="1227" spans="1:1" x14ac:dyDescent="0.35">
      <c r="A1227" s="9">
        <v>71997</v>
      </c>
    </row>
    <row r="1228" spans="1:1" x14ac:dyDescent="0.35">
      <c r="A1228" s="9">
        <v>71998</v>
      </c>
    </row>
    <row r="1229" spans="1:1" x14ac:dyDescent="0.35">
      <c r="A1229" s="9">
        <v>72043</v>
      </c>
    </row>
    <row r="1230" spans="1:1" x14ac:dyDescent="0.35">
      <c r="A1230" s="9">
        <v>72066</v>
      </c>
    </row>
    <row r="1231" spans="1:1" x14ac:dyDescent="0.35">
      <c r="A1231" s="9">
        <v>72076</v>
      </c>
    </row>
    <row r="1232" spans="1:1" x14ac:dyDescent="0.35">
      <c r="A1232" s="9">
        <v>72105</v>
      </c>
    </row>
    <row r="1233" spans="1:1" x14ac:dyDescent="0.35">
      <c r="A1233" s="9">
        <v>72205</v>
      </c>
    </row>
    <row r="1234" spans="1:1" x14ac:dyDescent="0.35">
      <c r="A1234" s="9">
        <v>72240</v>
      </c>
    </row>
    <row r="1235" spans="1:1" x14ac:dyDescent="0.35">
      <c r="A1235" s="9">
        <v>72261</v>
      </c>
    </row>
    <row r="1236" spans="1:1" x14ac:dyDescent="0.35">
      <c r="A1236" s="9">
        <v>72274</v>
      </c>
    </row>
    <row r="1237" spans="1:1" x14ac:dyDescent="0.35">
      <c r="A1237" s="9">
        <v>72279</v>
      </c>
    </row>
    <row r="1238" spans="1:1" x14ac:dyDescent="0.35">
      <c r="A1238" s="9">
        <v>72314</v>
      </c>
    </row>
    <row r="1239" spans="1:1" x14ac:dyDescent="0.35">
      <c r="A1239" s="11">
        <v>72321</v>
      </c>
    </row>
    <row r="1240" spans="1:1" x14ac:dyDescent="0.35">
      <c r="A1240" s="11">
        <v>72382</v>
      </c>
    </row>
    <row r="1241" spans="1:1" x14ac:dyDescent="0.35">
      <c r="A1241" s="11">
        <v>72383</v>
      </c>
    </row>
    <row r="1242" spans="1:1" x14ac:dyDescent="0.35">
      <c r="A1242" s="11">
        <v>72428</v>
      </c>
    </row>
    <row r="1243" spans="1:1" x14ac:dyDescent="0.35">
      <c r="A1243" s="11">
        <v>72431</v>
      </c>
    </row>
    <row r="1244" spans="1:1" x14ac:dyDescent="0.35">
      <c r="A1244" s="11">
        <v>72441</v>
      </c>
    </row>
    <row r="1245" spans="1:1" x14ac:dyDescent="0.35">
      <c r="A1245" s="11">
        <v>72490</v>
      </c>
    </row>
    <row r="1246" spans="1:1" x14ac:dyDescent="0.35">
      <c r="A1246" s="11">
        <v>72570</v>
      </c>
    </row>
    <row r="1247" spans="1:1" x14ac:dyDescent="0.35">
      <c r="A1247" s="11">
        <v>72605</v>
      </c>
    </row>
    <row r="1248" spans="1:1" x14ac:dyDescent="0.35">
      <c r="A1248" s="11">
        <v>72626</v>
      </c>
    </row>
    <row r="1249" spans="1:1" x14ac:dyDescent="0.35">
      <c r="A1249" s="11">
        <v>72639</v>
      </c>
    </row>
    <row r="1250" spans="1:1" x14ac:dyDescent="0.35">
      <c r="A1250" s="11">
        <v>72644</v>
      </c>
    </row>
    <row r="1251" spans="1:1" x14ac:dyDescent="0.35">
      <c r="A1251" s="11">
        <v>72679</v>
      </c>
    </row>
    <row r="1252" spans="1:1" x14ac:dyDescent="0.35">
      <c r="A1252" s="9">
        <v>72686</v>
      </c>
    </row>
    <row r="1253" spans="1:1" x14ac:dyDescent="0.35">
      <c r="A1253" s="9">
        <v>72739</v>
      </c>
    </row>
    <row r="1254" spans="1:1" x14ac:dyDescent="0.35">
      <c r="A1254" s="9">
        <v>72740</v>
      </c>
    </row>
    <row r="1255" spans="1:1" x14ac:dyDescent="0.35">
      <c r="A1255" s="9">
        <v>72785</v>
      </c>
    </row>
    <row r="1256" spans="1:1" x14ac:dyDescent="0.35">
      <c r="A1256" s="9">
        <v>72796</v>
      </c>
    </row>
    <row r="1257" spans="1:1" x14ac:dyDescent="0.35">
      <c r="A1257" s="9">
        <v>72806</v>
      </c>
    </row>
    <row r="1258" spans="1:1" x14ac:dyDescent="0.35">
      <c r="A1258" s="9">
        <v>72847</v>
      </c>
    </row>
    <row r="1259" spans="1:1" x14ac:dyDescent="0.35">
      <c r="A1259" s="9">
        <v>72935</v>
      </c>
    </row>
    <row r="1260" spans="1:1" x14ac:dyDescent="0.35">
      <c r="A1260" s="9">
        <v>72970</v>
      </c>
    </row>
    <row r="1261" spans="1:1" x14ac:dyDescent="0.35">
      <c r="A1261" s="9">
        <v>72991</v>
      </c>
    </row>
    <row r="1262" spans="1:1" x14ac:dyDescent="0.35">
      <c r="A1262" s="9">
        <v>73004</v>
      </c>
    </row>
    <row r="1263" spans="1:1" x14ac:dyDescent="0.35">
      <c r="A1263" s="9">
        <v>73009</v>
      </c>
    </row>
    <row r="1264" spans="1:1" x14ac:dyDescent="0.35">
      <c r="A1264" s="9">
        <v>73044</v>
      </c>
    </row>
  </sheetData>
  <pageMargins left="0.78740157499999996" right="0.78740157499999996" top="0.984251969" bottom="0.984251969" header="0.49212598499999999" footer="0.49212598499999999"/>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QUIZ</vt:lpstr>
      <vt:lpstr>FeriadosHolidays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Rochman</dc:creator>
  <cp:lastModifiedBy>Beatriz Aquino</cp:lastModifiedBy>
  <dcterms:created xsi:type="dcterms:W3CDTF">2023-05-27T17:15:00Z</dcterms:created>
  <dcterms:modified xsi:type="dcterms:W3CDTF">2024-12-03T12:15:33Z</dcterms:modified>
</cp:coreProperties>
</file>