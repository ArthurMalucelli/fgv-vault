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Price" sheetId="3" state="visible" r:id="rId3"/>
    <sheet xmlns:r="http://schemas.openxmlformats.org/officeDocument/2006/relationships" name="Anjo" sheetId="4" state="visible" r:id="rId4"/>
    <sheet xmlns:r="http://schemas.openxmlformats.org/officeDocument/2006/relationships" name="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1F4E78"/>
      <sz val="13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3" fontId="3" fillId="3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0" borderId="0" pivotButton="0" quotePrefix="0" xfId="0"/>
    <xf numFmtId="3" fontId="0" fillId="0" borderId="0" pivotButton="0" quotePrefix="0" xfId="0"/>
    <xf numFmtId="3" fontId="3" fillId="3" borderId="0" pivotButton="0" quotePrefix="0" xfId="0"/>
    <xf numFmtId="164" fontId="0" fillId="0" borderId="0" pivotButton="0" quotePrefix="0" xfId="0"/>
    <xf numFmtId="164" fontId="3" fillId="4" borderId="0" pivotButton="0" quotePrefix="0" xfId="0"/>
    <xf numFmtId="10" fontId="0" fillId="0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0" customWidth="1" min="3" max="3"/>
  </cols>
  <sheetData>
    <row r="1">
      <c r="A1" s="1" t="inlineStr">
        <is>
          <t>ELETRIC SOLUTIONS — PRICE vs ANJO COM CALLBACK (R$ mil)</t>
        </is>
      </c>
    </row>
    <row r="3">
      <c r="A3" s="2" t="inlineStr">
        <is>
          <t>Métrica</t>
        </is>
      </c>
      <c r="B3" s="2" t="inlineStr">
        <is>
          <t>PRICE</t>
        </is>
      </c>
      <c r="C3" s="2" t="inlineStr">
        <is>
          <t>ANJO COM CALLBACK</t>
        </is>
      </c>
    </row>
    <row r="4">
      <c r="A4" s="3" t="inlineStr">
        <is>
          <t>Captação dos R$ 700k</t>
        </is>
      </c>
      <c r="B4" s="4" t="inlineStr">
        <is>
          <t>Dívida, 12% a.a. (1%/mês), 60 meses</t>
        </is>
      </c>
      <c r="C4" s="4" t="inlineStr">
        <is>
          <t>Equity por 20% + opção de recompra</t>
        </is>
      </c>
    </row>
    <row r="5">
      <c r="A5" s="3" t="inlineStr">
        <is>
          <t>Taxa de desconto do projeto (Ku)</t>
        </is>
      </c>
      <c r="B5" s="5">
        <f>Premissas!B7</f>
        <v/>
      </c>
      <c r="C5" s="5">
        <f>Premissas!B7</f>
        <v/>
      </c>
    </row>
    <row r="6">
      <c r="A6" s="3" t="inlineStr">
        <is>
          <t>VPL DO PROJETO (igual, MM)</t>
        </is>
      </c>
      <c r="B6" s="6">
        <f>Premissas!G4</f>
        <v/>
      </c>
      <c r="C6" s="6">
        <f>Premissas!G4</f>
        <v/>
      </c>
    </row>
    <row r="7">
      <c r="A7" s="3" t="inlineStr">
        <is>
          <t>Desembolso anos 1-5</t>
        </is>
      </c>
      <c r="B7" s="4">
        <f>TEXT(Price!I4,"#,##0") &amp; " /ano (fixo)"</f>
        <v/>
      </c>
      <c r="C7" s="4" t="inlineStr">
        <is>
          <t>ZERO</t>
        </is>
      </c>
    </row>
    <row r="8">
      <c r="A8" s="3" t="inlineStr">
        <is>
          <t>VP do custo do financiamento</t>
        </is>
      </c>
      <c r="B8" s="7">
        <f>Price!I7</f>
        <v/>
      </c>
      <c r="C8" s="7">
        <f>Anjo!C4</f>
        <v/>
      </c>
    </row>
    <row r="9">
      <c r="A9" s="3" t="inlineStr">
        <is>
          <t>Extração do financiador (VP)</t>
        </is>
      </c>
      <c r="B9" s="7">
        <f>Price!I8</f>
        <v/>
      </c>
      <c r="C9" s="7">
        <f>Anjo!D4</f>
        <v/>
      </c>
    </row>
    <row r="10">
      <c r="A10" s="3" t="inlineStr">
        <is>
          <t>VPL PARA OS FUNDADORES</t>
        </is>
      </c>
      <c r="B10" s="6">
        <f>Price!I9</f>
        <v/>
      </c>
      <c r="C10" s="6">
        <f>Anjo!E4</f>
        <v/>
      </c>
    </row>
    <row r="11">
      <c r="A11" s="3" t="inlineStr">
        <is>
          <t>Equity final dos fundadores</t>
        </is>
      </c>
      <c r="B11" s="4" t="inlineStr">
        <is>
          <t>100%</t>
        </is>
      </c>
      <c r="C11" s="4" t="inlineStr">
        <is>
          <t>100% se exercer / 80% se não</t>
        </is>
      </c>
    </row>
    <row r="12">
      <c r="A12" s="3" t="inlineStr">
        <is>
          <t>Proteção de downside</t>
        </is>
      </c>
      <c r="B12" s="4" t="inlineStr">
        <is>
          <t>Não (dívida rígida)</t>
        </is>
      </c>
      <c r="C12" s="4" t="inlineStr">
        <is>
          <t>Sim (zero obrigação)</t>
        </is>
      </c>
    </row>
    <row r="13">
      <c r="A13" s="3" t="inlineStr">
        <is>
          <t>Risco que se aceita</t>
        </is>
      </c>
      <c r="B13" s="4" t="inlineStr">
        <is>
          <t>Obrigação rígida sufoca no choque</t>
        </is>
      </c>
      <c r="C13" s="4" t="inlineStr">
        <is>
          <t>Mais caro; caixa p/ recompra; anjo aceitar teto</t>
        </is>
      </c>
    </row>
    <row r="16">
      <c r="A16" s="8" t="inlineStr">
        <is>
          <t>Leitura: VPL do projeto é o mesmo (financiamento divide o valor, não cria). O que muda é o VPL pro fundador.</t>
        </is>
      </c>
    </row>
    <row r="17">
      <c r="A17" s="8" t="inlineStr">
        <is>
          <t>Price devolve mais ao fundador (+1.455k) e mantém 100%, mas com obrigação rígida. Callback custa ~250k a mais (o prêmio do seguro), zera a obrigação no período frágil e trava o custo no sucesso.</t>
        </is>
      </c>
    </row>
    <row r="18">
      <c r="A18" s="8" t="inlineStr">
        <is>
          <t>REGRA: caixa livre aguenta 187k/ano mesmo perdendo um cliente? SIM -&gt; Price. NÃO -&gt; Anjo com callback.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6" max="6"/>
  </cols>
  <sheetData>
    <row r="1">
      <c r="A1" s="1" t="inlineStr">
        <is>
          <t>PREMISSAS (R$ mil)</t>
        </is>
      </c>
    </row>
    <row r="2">
      <c r="D2" s="9" t="inlineStr">
        <is>
          <t>Ano</t>
        </is>
      </c>
      <c r="E2" s="9" t="inlineStr">
        <is>
          <t>FCF</t>
        </is>
      </c>
      <c r="G2" s="9" t="inlineStr">
        <is>
          <t>VALUATION DO PROJETO</t>
        </is>
      </c>
    </row>
    <row r="3">
      <c r="A3" t="inlineStr">
        <is>
          <t>Investimento total</t>
        </is>
      </c>
      <c r="B3" s="10" t="n">
        <v>1000</v>
      </c>
      <c r="D3" t="n">
        <v>1</v>
      </c>
      <c r="E3" s="10" t="n">
        <v>-200</v>
      </c>
      <c r="F3" t="inlineStr">
        <is>
          <t>PV das entradas</t>
        </is>
      </c>
      <c r="G3" s="10">
        <f>SUMPRODUCT(E3:E7,1/(1+B7)^D3:D7)+(E7*(1+B6)/(B7-B6))/(1+B7)^5</f>
        <v/>
      </c>
    </row>
    <row r="4">
      <c r="A4" t="inlineStr">
        <is>
          <t>Caixa próprio</t>
        </is>
      </c>
      <c r="B4" s="10" t="n">
        <v>300</v>
      </c>
      <c r="D4" t="n">
        <v>2</v>
      </c>
      <c r="E4" s="10" t="n">
        <v>150</v>
      </c>
      <c r="F4" s="9" t="inlineStr">
        <is>
          <t>VPL do projeto</t>
        </is>
      </c>
      <c r="G4" s="11">
        <f>-B3+G3</f>
        <v/>
      </c>
    </row>
    <row r="5">
      <c r="A5" t="inlineStr">
        <is>
          <t>Gap a financiar</t>
        </is>
      </c>
      <c r="B5" s="10" t="n">
        <v>700</v>
      </c>
      <c r="D5" t="n">
        <v>3</v>
      </c>
      <c r="E5" s="10" t="n">
        <v>400</v>
      </c>
      <c r="F5" t="inlineStr">
        <is>
          <t>Valor terminal (t=5)</t>
        </is>
      </c>
      <c r="G5" s="10">
        <f>E7*(1+B6)/(B7-B6)</f>
        <v/>
      </c>
    </row>
    <row r="6">
      <c r="A6" t="inlineStr">
        <is>
          <t>g (crescimento perpétuo)</t>
        </is>
      </c>
      <c r="B6" s="12" t="n">
        <v>0.05</v>
      </c>
      <c r="D6" t="n">
        <v>4</v>
      </c>
      <c r="E6" s="10" t="n">
        <v>550</v>
      </c>
    </row>
    <row r="7">
      <c r="A7" t="inlineStr">
        <is>
          <t>Taxa desconto Ku [INPUT]</t>
        </is>
      </c>
      <c r="B7" s="13" t="n">
        <v>0.2</v>
      </c>
      <c r="D7" t="n">
        <v>5</v>
      </c>
      <c r="E7" s="10" t="n">
        <v>600</v>
      </c>
    </row>
    <row r="8">
      <c r="A8" t="inlineStr">
        <is>
          <t>Selic</t>
        </is>
      </c>
      <c r="B8" s="12" t="n">
        <v>0.105</v>
      </c>
    </row>
    <row r="9">
      <c r="A9" t="inlineStr">
        <is>
          <t>Taxa empréstimo a.a.</t>
        </is>
      </c>
      <c r="B9" s="12" t="n">
        <v>0.12</v>
      </c>
    </row>
    <row r="10">
      <c r="A10" t="inlineStr">
        <is>
          <t>Taxa empréstimo mensal</t>
        </is>
      </c>
      <c r="B10" s="14">
        <f>B9/12</f>
        <v/>
      </c>
    </row>
    <row r="11">
      <c r="A11" t="inlineStr">
        <is>
          <t>Taxa desconto mensal</t>
        </is>
      </c>
      <c r="B11" s="14">
        <f>(1+B7)^(1/12)-1</f>
        <v/>
      </c>
    </row>
    <row r="12">
      <c r="A12" t="inlineStr">
        <is>
          <t>Anjo: strike recompra [INPUT]</t>
        </is>
      </c>
      <c r="B12" s="13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cols>
    <col width="24" customWidth="1" min="8" max="8"/>
    <col width="12" customWidth="1" min="9" max="9"/>
  </cols>
  <sheetData>
    <row r="1">
      <c r="A1" s="1" t="inlineStr">
        <is>
          <t>PRICE — 700k, 1%/mês, 60 meses</t>
        </is>
      </c>
    </row>
    <row r="3">
      <c r="A3" s="2" t="inlineStr">
        <is>
          <t>Mês</t>
        </is>
      </c>
      <c r="B3" s="2" t="inlineStr">
        <is>
          <t>Saldo ini.</t>
        </is>
      </c>
      <c r="C3" s="2" t="inlineStr">
        <is>
          <t>Juros</t>
        </is>
      </c>
      <c r="D3" s="2" t="inlineStr">
        <is>
          <t>Amort.</t>
        </is>
      </c>
      <c r="E3" s="2" t="inlineStr">
        <is>
          <t>Parcela</t>
        </is>
      </c>
      <c r="F3" s="2" t="inlineStr">
        <is>
          <t>Saldo fim</t>
        </is>
      </c>
      <c r="H3" t="inlineStr">
        <is>
          <t>Parcela/mês</t>
        </is>
      </c>
      <c r="I3" s="10">
        <f>E4</f>
        <v/>
      </c>
    </row>
    <row r="4">
      <c r="A4" t="n">
        <v>1</v>
      </c>
      <c r="B4" s="10">
        <f>Premissas!$B$5</f>
        <v/>
      </c>
      <c r="C4" s="10">
        <f>B4*Premissas!$B$10</f>
        <v/>
      </c>
      <c r="D4" s="10">
        <f>E4-C4</f>
        <v/>
      </c>
      <c r="E4" s="10">
        <f>PMT(Premissas!$B$10,60,-Premissas!$B$5)</f>
        <v/>
      </c>
      <c r="F4" s="10">
        <f>B4-D4</f>
        <v/>
      </c>
      <c r="H4" t="inlineStr">
        <is>
          <t>Desembolso ano 1</t>
        </is>
      </c>
      <c r="I4" s="10">
        <f>SUM(E4:E15)</f>
        <v/>
      </c>
    </row>
    <row r="5">
      <c r="A5" t="n">
        <v>2</v>
      </c>
      <c r="B5" s="10">
        <f>F4</f>
        <v/>
      </c>
      <c r="C5" s="10">
        <f>B5*Premissas!$B$10</f>
        <v/>
      </c>
      <c r="D5" s="10">
        <f>E5-C5</f>
        <v/>
      </c>
      <c r="E5" s="10">
        <f>$E$4</f>
        <v/>
      </c>
      <c r="F5" s="10">
        <f>B5-D5</f>
        <v/>
      </c>
      <c r="H5" t="inlineStr">
        <is>
          <t>Total pago</t>
        </is>
      </c>
      <c r="I5" s="10">
        <f>SUM(E4:E63)</f>
        <v/>
      </c>
    </row>
    <row r="6">
      <c r="A6" t="n">
        <v>3</v>
      </c>
      <c r="B6" s="10">
        <f>F5</f>
        <v/>
      </c>
      <c r="C6" s="10">
        <f>B6*Premissas!$B$10</f>
        <v/>
      </c>
      <c r="D6" s="10">
        <f>E6-C6</f>
        <v/>
      </c>
      <c r="E6" s="10">
        <f>$E$4</f>
        <v/>
      </c>
      <c r="F6" s="10">
        <f>B6-D6</f>
        <v/>
      </c>
      <c r="H6" t="inlineStr">
        <is>
          <t>Juros totais</t>
        </is>
      </c>
      <c r="I6" s="10">
        <f>I5-Premissas!B5</f>
        <v/>
      </c>
    </row>
    <row r="7">
      <c r="A7" t="n">
        <v>4</v>
      </c>
      <c r="B7" s="10">
        <f>F6</f>
        <v/>
      </c>
      <c r="C7" s="10">
        <f>B7*Premissas!$B$10</f>
        <v/>
      </c>
      <c r="D7" s="10">
        <f>E7-C7</f>
        <v/>
      </c>
      <c r="E7" s="10">
        <f>$E$4</f>
        <v/>
      </c>
      <c r="F7" s="10">
        <f>B7-D7</f>
        <v/>
      </c>
      <c r="H7" t="inlineStr">
        <is>
          <t>VP do custo @Ku</t>
        </is>
      </c>
      <c r="I7" s="10">
        <f>SUMPRODUCT(E4:E63,1/(1+Premissas!$B$11)^A4:A63)</f>
        <v/>
      </c>
    </row>
    <row r="8">
      <c r="A8" t="n">
        <v>5</v>
      </c>
      <c r="B8" s="10">
        <f>F7</f>
        <v/>
      </c>
      <c r="C8" s="10">
        <f>B8*Premissas!$B$10</f>
        <v/>
      </c>
      <c r="D8" s="10">
        <f>E8-C8</f>
        <v/>
      </c>
      <c r="E8" s="10">
        <f>$E$4</f>
        <v/>
      </c>
      <c r="F8" s="10">
        <f>B8-D8</f>
        <v/>
      </c>
      <c r="H8" t="inlineStr">
        <is>
          <t>Extração do banco (VP-700)</t>
        </is>
      </c>
      <c r="I8" s="10">
        <f>I7-Premissas!B5</f>
        <v/>
      </c>
    </row>
    <row r="9">
      <c r="A9" t="n">
        <v>6</v>
      </c>
      <c r="B9" s="10">
        <f>F8</f>
        <v/>
      </c>
      <c r="C9" s="10">
        <f>B9*Premissas!$B$10</f>
        <v/>
      </c>
      <c r="D9" s="10">
        <f>E9-C9</f>
        <v/>
      </c>
      <c r="E9" s="10">
        <f>$E$4</f>
        <v/>
      </c>
      <c r="F9" s="10">
        <f>B9-D9</f>
        <v/>
      </c>
      <c r="H9" s="9" t="inlineStr">
        <is>
          <t>VPL FUNDADORES</t>
        </is>
      </c>
      <c r="I9" s="11">
        <f>-Premissas!B4+Premissas!G3-I7</f>
        <v/>
      </c>
    </row>
    <row r="10">
      <c r="A10" t="n">
        <v>7</v>
      </c>
      <c r="B10" s="10">
        <f>F9</f>
        <v/>
      </c>
      <c r="C10" s="10">
        <f>B10*Premissas!$B$10</f>
        <v/>
      </c>
      <c r="D10" s="10">
        <f>E10-C10</f>
        <v/>
      </c>
      <c r="E10" s="10">
        <f>$E$4</f>
        <v/>
      </c>
      <c r="F10" s="10">
        <f>B10-D10</f>
        <v/>
      </c>
    </row>
    <row r="11">
      <c r="A11" t="n">
        <v>8</v>
      </c>
      <c r="B11" s="10">
        <f>F10</f>
        <v/>
      </c>
      <c r="C11" s="10">
        <f>B11*Premissas!$B$10</f>
        <v/>
      </c>
      <c r="D11" s="10">
        <f>E11-C11</f>
        <v/>
      </c>
      <c r="E11" s="10">
        <f>$E$4</f>
        <v/>
      </c>
      <c r="F11" s="10">
        <f>B11-D11</f>
        <v/>
      </c>
    </row>
    <row r="12">
      <c r="A12" t="n">
        <v>9</v>
      </c>
      <c r="B12" s="10">
        <f>F11</f>
        <v/>
      </c>
      <c r="C12" s="10">
        <f>B12*Premissas!$B$10</f>
        <v/>
      </c>
      <c r="D12" s="10">
        <f>E12-C12</f>
        <v/>
      </c>
      <c r="E12" s="10">
        <f>$E$4</f>
        <v/>
      </c>
      <c r="F12" s="10">
        <f>B12-D12</f>
        <v/>
      </c>
    </row>
    <row r="13">
      <c r="A13" t="n">
        <v>10</v>
      </c>
      <c r="B13" s="10">
        <f>F12</f>
        <v/>
      </c>
      <c r="C13" s="10">
        <f>B13*Premissas!$B$10</f>
        <v/>
      </c>
      <c r="D13" s="10">
        <f>E13-C13</f>
        <v/>
      </c>
      <c r="E13" s="10">
        <f>$E$4</f>
        <v/>
      </c>
      <c r="F13" s="10">
        <f>B13-D13</f>
        <v/>
      </c>
    </row>
    <row r="14">
      <c r="A14" t="n">
        <v>11</v>
      </c>
      <c r="B14" s="10">
        <f>F13</f>
        <v/>
      </c>
      <c r="C14" s="10">
        <f>B14*Premissas!$B$10</f>
        <v/>
      </c>
      <c r="D14" s="10">
        <f>E14-C14</f>
        <v/>
      </c>
      <c r="E14" s="10">
        <f>$E$4</f>
        <v/>
      </c>
      <c r="F14" s="10">
        <f>B14-D14</f>
        <v/>
      </c>
    </row>
    <row r="15">
      <c r="A15" t="n">
        <v>12</v>
      </c>
      <c r="B15" s="10">
        <f>F14</f>
        <v/>
      </c>
      <c r="C15" s="10">
        <f>B15*Premissas!$B$10</f>
        <v/>
      </c>
      <c r="D15" s="10">
        <f>E15-C15</f>
        <v/>
      </c>
      <c r="E15" s="10">
        <f>$E$4</f>
        <v/>
      </c>
      <c r="F15" s="10">
        <f>B15-D15</f>
        <v/>
      </c>
    </row>
    <row r="16">
      <c r="A16" t="n">
        <v>13</v>
      </c>
      <c r="B16" s="10">
        <f>F15</f>
        <v/>
      </c>
      <c r="C16" s="10">
        <f>B16*Premissas!$B$10</f>
        <v/>
      </c>
      <c r="D16" s="10">
        <f>E16-C16</f>
        <v/>
      </c>
      <c r="E16" s="10">
        <f>$E$4</f>
        <v/>
      </c>
      <c r="F16" s="10">
        <f>B16-D16</f>
        <v/>
      </c>
    </row>
    <row r="17">
      <c r="A17" t="n">
        <v>14</v>
      </c>
      <c r="B17" s="10">
        <f>F16</f>
        <v/>
      </c>
      <c r="C17" s="10">
        <f>B17*Premissas!$B$10</f>
        <v/>
      </c>
      <c r="D17" s="10">
        <f>E17-C17</f>
        <v/>
      </c>
      <c r="E17" s="10">
        <f>$E$4</f>
        <v/>
      </c>
      <c r="F17" s="10">
        <f>B17-D17</f>
        <v/>
      </c>
    </row>
    <row r="18">
      <c r="A18" t="n">
        <v>15</v>
      </c>
      <c r="B18" s="10">
        <f>F17</f>
        <v/>
      </c>
      <c r="C18" s="10">
        <f>B18*Premissas!$B$10</f>
        <v/>
      </c>
      <c r="D18" s="10">
        <f>E18-C18</f>
        <v/>
      </c>
      <c r="E18" s="10">
        <f>$E$4</f>
        <v/>
      </c>
      <c r="F18" s="10">
        <f>B18-D18</f>
        <v/>
      </c>
    </row>
    <row r="19">
      <c r="A19" t="n">
        <v>16</v>
      </c>
      <c r="B19" s="10">
        <f>F18</f>
        <v/>
      </c>
      <c r="C19" s="10">
        <f>B19*Premissas!$B$10</f>
        <v/>
      </c>
      <c r="D19" s="10">
        <f>E19-C19</f>
        <v/>
      </c>
      <c r="E19" s="10">
        <f>$E$4</f>
        <v/>
      </c>
      <c r="F19" s="10">
        <f>B19-D19</f>
        <v/>
      </c>
    </row>
    <row r="20">
      <c r="A20" t="n">
        <v>17</v>
      </c>
      <c r="B20" s="10">
        <f>F19</f>
        <v/>
      </c>
      <c r="C20" s="10">
        <f>B20*Premissas!$B$10</f>
        <v/>
      </c>
      <c r="D20" s="10">
        <f>E20-C20</f>
        <v/>
      </c>
      <c r="E20" s="10">
        <f>$E$4</f>
        <v/>
      </c>
      <c r="F20" s="10">
        <f>B20-D20</f>
        <v/>
      </c>
    </row>
    <row r="21">
      <c r="A21" t="n">
        <v>18</v>
      </c>
      <c r="B21" s="10">
        <f>F20</f>
        <v/>
      </c>
      <c r="C21" s="10">
        <f>B21*Premissas!$B$10</f>
        <v/>
      </c>
      <c r="D21" s="10">
        <f>E21-C21</f>
        <v/>
      </c>
      <c r="E21" s="10">
        <f>$E$4</f>
        <v/>
      </c>
      <c r="F21" s="10">
        <f>B21-D21</f>
        <v/>
      </c>
    </row>
    <row r="22">
      <c r="A22" t="n">
        <v>19</v>
      </c>
      <c r="B22" s="10">
        <f>F21</f>
        <v/>
      </c>
      <c r="C22" s="10">
        <f>B22*Premissas!$B$10</f>
        <v/>
      </c>
      <c r="D22" s="10">
        <f>E22-C22</f>
        <v/>
      </c>
      <c r="E22" s="10">
        <f>$E$4</f>
        <v/>
      </c>
      <c r="F22" s="10">
        <f>B22-D22</f>
        <v/>
      </c>
    </row>
    <row r="23">
      <c r="A23" t="n">
        <v>20</v>
      </c>
      <c r="B23" s="10">
        <f>F22</f>
        <v/>
      </c>
      <c r="C23" s="10">
        <f>B23*Premissas!$B$10</f>
        <v/>
      </c>
      <c r="D23" s="10">
        <f>E23-C23</f>
        <v/>
      </c>
      <c r="E23" s="10">
        <f>$E$4</f>
        <v/>
      </c>
      <c r="F23" s="10">
        <f>B23-D23</f>
        <v/>
      </c>
    </row>
    <row r="24">
      <c r="A24" t="n">
        <v>21</v>
      </c>
      <c r="B24" s="10">
        <f>F23</f>
        <v/>
      </c>
      <c r="C24" s="10">
        <f>B24*Premissas!$B$10</f>
        <v/>
      </c>
      <c r="D24" s="10">
        <f>E24-C24</f>
        <v/>
      </c>
      <c r="E24" s="10">
        <f>$E$4</f>
        <v/>
      </c>
      <c r="F24" s="10">
        <f>B24-D24</f>
        <v/>
      </c>
    </row>
    <row r="25">
      <c r="A25" t="n">
        <v>22</v>
      </c>
      <c r="B25" s="10">
        <f>F24</f>
        <v/>
      </c>
      <c r="C25" s="10">
        <f>B25*Premissas!$B$10</f>
        <v/>
      </c>
      <c r="D25" s="10">
        <f>E25-C25</f>
        <v/>
      </c>
      <c r="E25" s="10">
        <f>$E$4</f>
        <v/>
      </c>
      <c r="F25" s="10">
        <f>B25-D25</f>
        <v/>
      </c>
    </row>
    <row r="26">
      <c r="A26" t="n">
        <v>23</v>
      </c>
      <c r="B26" s="10">
        <f>F25</f>
        <v/>
      </c>
      <c r="C26" s="10">
        <f>B26*Premissas!$B$10</f>
        <v/>
      </c>
      <c r="D26" s="10">
        <f>E26-C26</f>
        <v/>
      </c>
      <c r="E26" s="10">
        <f>$E$4</f>
        <v/>
      </c>
      <c r="F26" s="10">
        <f>B26-D26</f>
        <v/>
      </c>
    </row>
    <row r="27">
      <c r="A27" t="n">
        <v>24</v>
      </c>
      <c r="B27" s="10">
        <f>F26</f>
        <v/>
      </c>
      <c r="C27" s="10">
        <f>B27*Premissas!$B$10</f>
        <v/>
      </c>
      <c r="D27" s="10">
        <f>E27-C27</f>
        <v/>
      </c>
      <c r="E27" s="10">
        <f>$E$4</f>
        <v/>
      </c>
      <c r="F27" s="10">
        <f>B27-D27</f>
        <v/>
      </c>
    </row>
    <row r="28">
      <c r="A28" t="n">
        <v>25</v>
      </c>
      <c r="B28" s="10">
        <f>F27</f>
        <v/>
      </c>
      <c r="C28" s="10">
        <f>B28*Premissas!$B$10</f>
        <v/>
      </c>
      <c r="D28" s="10">
        <f>E28-C28</f>
        <v/>
      </c>
      <c r="E28" s="10">
        <f>$E$4</f>
        <v/>
      </c>
      <c r="F28" s="10">
        <f>B28-D28</f>
        <v/>
      </c>
    </row>
    <row r="29">
      <c r="A29" t="n">
        <v>26</v>
      </c>
      <c r="B29" s="10">
        <f>F28</f>
        <v/>
      </c>
      <c r="C29" s="10">
        <f>B29*Premissas!$B$10</f>
        <v/>
      </c>
      <c r="D29" s="10">
        <f>E29-C29</f>
        <v/>
      </c>
      <c r="E29" s="10">
        <f>$E$4</f>
        <v/>
      </c>
      <c r="F29" s="10">
        <f>B29-D29</f>
        <v/>
      </c>
    </row>
    <row r="30">
      <c r="A30" t="n">
        <v>27</v>
      </c>
      <c r="B30" s="10">
        <f>F29</f>
        <v/>
      </c>
      <c r="C30" s="10">
        <f>B30*Premissas!$B$10</f>
        <v/>
      </c>
      <c r="D30" s="10">
        <f>E30-C30</f>
        <v/>
      </c>
      <c r="E30" s="10">
        <f>$E$4</f>
        <v/>
      </c>
      <c r="F30" s="10">
        <f>B30-D30</f>
        <v/>
      </c>
    </row>
    <row r="31">
      <c r="A31" t="n">
        <v>28</v>
      </c>
      <c r="B31" s="10">
        <f>F30</f>
        <v/>
      </c>
      <c r="C31" s="10">
        <f>B31*Premissas!$B$10</f>
        <v/>
      </c>
      <c r="D31" s="10">
        <f>E31-C31</f>
        <v/>
      </c>
      <c r="E31" s="10">
        <f>$E$4</f>
        <v/>
      </c>
      <c r="F31" s="10">
        <f>B31-D31</f>
        <v/>
      </c>
    </row>
    <row r="32">
      <c r="A32" t="n">
        <v>29</v>
      </c>
      <c r="B32" s="10">
        <f>F31</f>
        <v/>
      </c>
      <c r="C32" s="10">
        <f>B32*Premissas!$B$10</f>
        <v/>
      </c>
      <c r="D32" s="10">
        <f>E32-C32</f>
        <v/>
      </c>
      <c r="E32" s="10">
        <f>$E$4</f>
        <v/>
      </c>
      <c r="F32" s="10">
        <f>B32-D32</f>
        <v/>
      </c>
    </row>
    <row r="33">
      <c r="A33" t="n">
        <v>30</v>
      </c>
      <c r="B33" s="10">
        <f>F32</f>
        <v/>
      </c>
      <c r="C33" s="10">
        <f>B33*Premissas!$B$10</f>
        <v/>
      </c>
      <c r="D33" s="10">
        <f>E33-C33</f>
        <v/>
      </c>
      <c r="E33" s="10">
        <f>$E$4</f>
        <v/>
      </c>
      <c r="F33" s="10">
        <f>B33-D33</f>
        <v/>
      </c>
    </row>
    <row r="34">
      <c r="A34" t="n">
        <v>31</v>
      </c>
      <c r="B34" s="10">
        <f>F33</f>
        <v/>
      </c>
      <c r="C34" s="10">
        <f>B34*Premissas!$B$10</f>
        <v/>
      </c>
      <c r="D34" s="10">
        <f>E34-C34</f>
        <v/>
      </c>
      <c r="E34" s="10">
        <f>$E$4</f>
        <v/>
      </c>
      <c r="F34" s="10">
        <f>B34-D34</f>
        <v/>
      </c>
    </row>
    <row r="35">
      <c r="A35" t="n">
        <v>32</v>
      </c>
      <c r="B35" s="10">
        <f>F34</f>
        <v/>
      </c>
      <c r="C35" s="10">
        <f>B35*Premissas!$B$10</f>
        <v/>
      </c>
      <c r="D35" s="10">
        <f>E35-C35</f>
        <v/>
      </c>
      <c r="E35" s="10">
        <f>$E$4</f>
        <v/>
      </c>
      <c r="F35" s="10">
        <f>B35-D35</f>
        <v/>
      </c>
    </row>
    <row r="36">
      <c r="A36" t="n">
        <v>33</v>
      </c>
      <c r="B36" s="10">
        <f>F35</f>
        <v/>
      </c>
      <c r="C36" s="10">
        <f>B36*Premissas!$B$10</f>
        <v/>
      </c>
      <c r="D36" s="10">
        <f>E36-C36</f>
        <v/>
      </c>
      <c r="E36" s="10">
        <f>$E$4</f>
        <v/>
      </c>
      <c r="F36" s="10">
        <f>B36-D36</f>
        <v/>
      </c>
    </row>
    <row r="37">
      <c r="A37" t="n">
        <v>34</v>
      </c>
      <c r="B37" s="10">
        <f>F36</f>
        <v/>
      </c>
      <c r="C37" s="10">
        <f>B37*Premissas!$B$10</f>
        <v/>
      </c>
      <c r="D37" s="10">
        <f>E37-C37</f>
        <v/>
      </c>
      <c r="E37" s="10">
        <f>$E$4</f>
        <v/>
      </c>
      <c r="F37" s="10">
        <f>B37-D37</f>
        <v/>
      </c>
    </row>
    <row r="38">
      <c r="A38" t="n">
        <v>35</v>
      </c>
      <c r="B38" s="10">
        <f>F37</f>
        <v/>
      </c>
      <c r="C38" s="10">
        <f>B38*Premissas!$B$10</f>
        <v/>
      </c>
      <c r="D38" s="10">
        <f>E38-C38</f>
        <v/>
      </c>
      <c r="E38" s="10">
        <f>$E$4</f>
        <v/>
      </c>
      <c r="F38" s="10">
        <f>B38-D38</f>
        <v/>
      </c>
    </row>
    <row r="39">
      <c r="A39" t="n">
        <v>36</v>
      </c>
      <c r="B39" s="10">
        <f>F38</f>
        <v/>
      </c>
      <c r="C39" s="10">
        <f>B39*Premissas!$B$10</f>
        <v/>
      </c>
      <c r="D39" s="10">
        <f>E39-C39</f>
        <v/>
      </c>
      <c r="E39" s="10">
        <f>$E$4</f>
        <v/>
      </c>
      <c r="F39" s="10">
        <f>B39-D39</f>
        <v/>
      </c>
    </row>
    <row r="40">
      <c r="A40" t="n">
        <v>37</v>
      </c>
      <c r="B40" s="10">
        <f>F39</f>
        <v/>
      </c>
      <c r="C40" s="10">
        <f>B40*Premissas!$B$10</f>
        <v/>
      </c>
      <c r="D40" s="10">
        <f>E40-C40</f>
        <v/>
      </c>
      <c r="E40" s="10">
        <f>$E$4</f>
        <v/>
      </c>
      <c r="F40" s="10">
        <f>B40-D40</f>
        <v/>
      </c>
    </row>
    <row r="41">
      <c r="A41" t="n">
        <v>38</v>
      </c>
      <c r="B41" s="10">
        <f>F40</f>
        <v/>
      </c>
      <c r="C41" s="10">
        <f>B41*Premissas!$B$10</f>
        <v/>
      </c>
      <c r="D41" s="10">
        <f>E41-C41</f>
        <v/>
      </c>
      <c r="E41" s="10">
        <f>$E$4</f>
        <v/>
      </c>
      <c r="F41" s="10">
        <f>B41-D41</f>
        <v/>
      </c>
    </row>
    <row r="42">
      <c r="A42" t="n">
        <v>39</v>
      </c>
      <c r="B42" s="10">
        <f>F41</f>
        <v/>
      </c>
      <c r="C42" s="10">
        <f>B42*Premissas!$B$10</f>
        <v/>
      </c>
      <c r="D42" s="10">
        <f>E42-C42</f>
        <v/>
      </c>
      <c r="E42" s="10">
        <f>$E$4</f>
        <v/>
      </c>
      <c r="F42" s="10">
        <f>B42-D42</f>
        <v/>
      </c>
    </row>
    <row r="43">
      <c r="A43" t="n">
        <v>40</v>
      </c>
      <c r="B43" s="10">
        <f>F42</f>
        <v/>
      </c>
      <c r="C43" s="10">
        <f>B43*Premissas!$B$10</f>
        <v/>
      </c>
      <c r="D43" s="10">
        <f>E43-C43</f>
        <v/>
      </c>
      <c r="E43" s="10">
        <f>$E$4</f>
        <v/>
      </c>
      <c r="F43" s="10">
        <f>B43-D43</f>
        <v/>
      </c>
    </row>
    <row r="44">
      <c r="A44" t="n">
        <v>41</v>
      </c>
      <c r="B44" s="10">
        <f>F43</f>
        <v/>
      </c>
      <c r="C44" s="10">
        <f>B44*Premissas!$B$10</f>
        <v/>
      </c>
      <c r="D44" s="10">
        <f>E44-C44</f>
        <v/>
      </c>
      <c r="E44" s="10">
        <f>$E$4</f>
        <v/>
      </c>
      <c r="F44" s="10">
        <f>B44-D44</f>
        <v/>
      </c>
    </row>
    <row r="45">
      <c r="A45" t="n">
        <v>42</v>
      </c>
      <c r="B45" s="10">
        <f>F44</f>
        <v/>
      </c>
      <c r="C45" s="10">
        <f>B45*Premissas!$B$10</f>
        <v/>
      </c>
      <c r="D45" s="10">
        <f>E45-C45</f>
        <v/>
      </c>
      <c r="E45" s="10">
        <f>$E$4</f>
        <v/>
      </c>
      <c r="F45" s="10">
        <f>B45-D45</f>
        <v/>
      </c>
    </row>
    <row r="46">
      <c r="A46" t="n">
        <v>43</v>
      </c>
      <c r="B46" s="10">
        <f>F45</f>
        <v/>
      </c>
      <c r="C46" s="10">
        <f>B46*Premissas!$B$10</f>
        <v/>
      </c>
      <c r="D46" s="10">
        <f>E46-C46</f>
        <v/>
      </c>
      <c r="E46" s="10">
        <f>$E$4</f>
        <v/>
      </c>
      <c r="F46" s="10">
        <f>B46-D46</f>
        <v/>
      </c>
    </row>
    <row r="47">
      <c r="A47" t="n">
        <v>44</v>
      </c>
      <c r="B47" s="10">
        <f>F46</f>
        <v/>
      </c>
      <c r="C47" s="10">
        <f>B47*Premissas!$B$10</f>
        <v/>
      </c>
      <c r="D47" s="10">
        <f>E47-C47</f>
        <v/>
      </c>
      <c r="E47" s="10">
        <f>$E$4</f>
        <v/>
      </c>
      <c r="F47" s="10">
        <f>B47-D47</f>
        <v/>
      </c>
    </row>
    <row r="48">
      <c r="A48" t="n">
        <v>45</v>
      </c>
      <c r="B48" s="10">
        <f>F47</f>
        <v/>
      </c>
      <c r="C48" s="10">
        <f>B48*Premissas!$B$10</f>
        <v/>
      </c>
      <c r="D48" s="10">
        <f>E48-C48</f>
        <v/>
      </c>
      <c r="E48" s="10">
        <f>$E$4</f>
        <v/>
      </c>
      <c r="F48" s="10">
        <f>B48-D48</f>
        <v/>
      </c>
    </row>
    <row r="49">
      <c r="A49" t="n">
        <v>46</v>
      </c>
      <c r="B49" s="10">
        <f>F48</f>
        <v/>
      </c>
      <c r="C49" s="10">
        <f>B49*Premissas!$B$10</f>
        <v/>
      </c>
      <c r="D49" s="10">
        <f>E49-C49</f>
        <v/>
      </c>
      <c r="E49" s="10">
        <f>$E$4</f>
        <v/>
      </c>
      <c r="F49" s="10">
        <f>B49-D49</f>
        <v/>
      </c>
    </row>
    <row r="50">
      <c r="A50" t="n">
        <v>47</v>
      </c>
      <c r="B50" s="10">
        <f>F49</f>
        <v/>
      </c>
      <c r="C50" s="10">
        <f>B50*Premissas!$B$10</f>
        <v/>
      </c>
      <c r="D50" s="10">
        <f>E50-C50</f>
        <v/>
      </c>
      <c r="E50" s="10">
        <f>$E$4</f>
        <v/>
      </c>
      <c r="F50" s="10">
        <f>B50-D50</f>
        <v/>
      </c>
    </row>
    <row r="51">
      <c r="A51" t="n">
        <v>48</v>
      </c>
      <c r="B51" s="10">
        <f>F50</f>
        <v/>
      </c>
      <c r="C51" s="10">
        <f>B51*Premissas!$B$10</f>
        <v/>
      </c>
      <c r="D51" s="10">
        <f>E51-C51</f>
        <v/>
      </c>
      <c r="E51" s="10">
        <f>$E$4</f>
        <v/>
      </c>
      <c r="F51" s="10">
        <f>B51-D51</f>
        <v/>
      </c>
    </row>
    <row r="52">
      <c r="A52" t="n">
        <v>49</v>
      </c>
      <c r="B52" s="10">
        <f>F51</f>
        <v/>
      </c>
      <c r="C52" s="10">
        <f>B52*Premissas!$B$10</f>
        <v/>
      </c>
      <c r="D52" s="10">
        <f>E52-C52</f>
        <v/>
      </c>
      <c r="E52" s="10">
        <f>$E$4</f>
        <v/>
      </c>
      <c r="F52" s="10">
        <f>B52-D52</f>
        <v/>
      </c>
    </row>
    <row r="53">
      <c r="A53" t="n">
        <v>50</v>
      </c>
      <c r="B53" s="10">
        <f>F52</f>
        <v/>
      </c>
      <c r="C53" s="10">
        <f>B53*Premissas!$B$10</f>
        <v/>
      </c>
      <c r="D53" s="10">
        <f>E53-C53</f>
        <v/>
      </c>
      <c r="E53" s="10">
        <f>$E$4</f>
        <v/>
      </c>
      <c r="F53" s="10">
        <f>B53-D53</f>
        <v/>
      </c>
    </row>
    <row r="54">
      <c r="A54" t="n">
        <v>51</v>
      </c>
      <c r="B54" s="10">
        <f>F53</f>
        <v/>
      </c>
      <c r="C54" s="10">
        <f>B54*Premissas!$B$10</f>
        <v/>
      </c>
      <c r="D54" s="10">
        <f>E54-C54</f>
        <v/>
      </c>
      <c r="E54" s="10">
        <f>$E$4</f>
        <v/>
      </c>
      <c r="F54" s="10">
        <f>B54-D54</f>
        <v/>
      </c>
    </row>
    <row r="55">
      <c r="A55" t="n">
        <v>52</v>
      </c>
      <c r="B55" s="10">
        <f>F54</f>
        <v/>
      </c>
      <c r="C55" s="10">
        <f>B55*Premissas!$B$10</f>
        <v/>
      </c>
      <c r="D55" s="10">
        <f>E55-C55</f>
        <v/>
      </c>
      <c r="E55" s="10">
        <f>$E$4</f>
        <v/>
      </c>
      <c r="F55" s="10">
        <f>B55-D55</f>
        <v/>
      </c>
    </row>
    <row r="56">
      <c r="A56" t="n">
        <v>53</v>
      </c>
      <c r="B56" s="10">
        <f>F55</f>
        <v/>
      </c>
      <c r="C56" s="10">
        <f>B56*Premissas!$B$10</f>
        <v/>
      </c>
      <c r="D56" s="10">
        <f>E56-C56</f>
        <v/>
      </c>
      <c r="E56" s="10">
        <f>$E$4</f>
        <v/>
      </c>
      <c r="F56" s="10">
        <f>B56-D56</f>
        <v/>
      </c>
    </row>
    <row r="57">
      <c r="A57" t="n">
        <v>54</v>
      </c>
      <c r="B57" s="10">
        <f>F56</f>
        <v/>
      </c>
      <c r="C57" s="10">
        <f>B57*Premissas!$B$10</f>
        <v/>
      </c>
      <c r="D57" s="10">
        <f>E57-C57</f>
        <v/>
      </c>
      <c r="E57" s="10">
        <f>$E$4</f>
        <v/>
      </c>
      <c r="F57" s="10">
        <f>B57-D57</f>
        <v/>
      </c>
    </row>
    <row r="58">
      <c r="A58" t="n">
        <v>55</v>
      </c>
      <c r="B58" s="10">
        <f>F57</f>
        <v/>
      </c>
      <c r="C58" s="10">
        <f>B58*Premissas!$B$10</f>
        <v/>
      </c>
      <c r="D58" s="10">
        <f>E58-C58</f>
        <v/>
      </c>
      <c r="E58" s="10">
        <f>$E$4</f>
        <v/>
      </c>
      <c r="F58" s="10">
        <f>B58-D58</f>
        <v/>
      </c>
    </row>
    <row r="59">
      <c r="A59" t="n">
        <v>56</v>
      </c>
      <c r="B59" s="10">
        <f>F58</f>
        <v/>
      </c>
      <c r="C59" s="10">
        <f>B59*Premissas!$B$10</f>
        <v/>
      </c>
      <c r="D59" s="10">
        <f>E59-C59</f>
        <v/>
      </c>
      <c r="E59" s="10">
        <f>$E$4</f>
        <v/>
      </c>
      <c r="F59" s="10">
        <f>B59-D59</f>
        <v/>
      </c>
    </row>
    <row r="60">
      <c r="A60" t="n">
        <v>57</v>
      </c>
      <c r="B60" s="10">
        <f>F59</f>
        <v/>
      </c>
      <c r="C60" s="10">
        <f>B60*Premissas!$B$10</f>
        <v/>
      </c>
      <c r="D60" s="10">
        <f>E60-C60</f>
        <v/>
      </c>
      <c r="E60" s="10">
        <f>$E$4</f>
        <v/>
      </c>
      <c r="F60" s="10">
        <f>B60-D60</f>
        <v/>
      </c>
    </row>
    <row r="61">
      <c r="A61" t="n">
        <v>58</v>
      </c>
      <c r="B61" s="10">
        <f>F60</f>
        <v/>
      </c>
      <c r="C61" s="10">
        <f>B61*Premissas!$B$10</f>
        <v/>
      </c>
      <c r="D61" s="10">
        <f>E61-C61</f>
        <v/>
      </c>
      <c r="E61" s="10">
        <f>$E$4</f>
        <v/>
      </c>
      <c r="F61" s="10">
        <f>B61-D61</f>
        <v/>
      </c>
    </row>
    <row r="62">
      <c r="A62" t="n">
        <v>59</v>
      </c>
      <c r="B62" s="10">
        <f>F61</f>
        <v/>
      </c>
      <c r="C62" s="10">
        <f>B62*Premissas!$B$10</f>
        <v/>
      </c>
      <c r="D62" s="10">
        <f>E62-C62</f>
        <v/>
      </c>
      <c r="E62" s="10">
        <f>$E$4</f>
        <v/>
      </c>
      <c r="F62" s="10">
        <f>B62-D62</f>
        <v/>
      </c>
    </row>
    <row r="63">
      <c r="A63" t="n">
        <v>60</v>
      </c>
      <c r="B63" s="10">
        <f>F62</f>
        <v/>
      </c>
      <c r="C63" s="10">
        <f>B63*Premissas!$B$10</f>
        <v/>
      </c>
      <c r="D63" s="10">
        <f>E63-C63</f>
        <v/>
      </c>
      <c r="E63" s="10">
        <f>$E$4</f>
        <v/>
      </c>
      <c r="F63" s="10">
        <f>B63-D63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ANJO COM CALLBACK — 700k por 20%, recompra opcional no ano 5</t>
        </is>
      </c>
    </row>
    <row r="3">
      <c r="A3" s="2" t="inlineStr">
        <is>
          <t>Strike a.a.</t>
        </is>
      </c>
      <c r="B3" s="2" t="inlineStr">
        <is>
          <t>Recompra nominal (ano 5)</t>
        </is>
      </c>
      <c r="C3" s="2" t="inlineStr">
        <is>
          <t>VP recompra @Ku</t>
        </is>
      </c>
      <c r="D3" s="2" t="inlineStr">
        <is>
          <t>Extração (VP-700)</t>
        </is>
      </c>
      <c r="E3" s="2" t="inlineStr">
        <is>
          <t>VPL FUNDADORES</t>
        </is>
      </c>
    </row>
    <row r="4">
      <c r="A4" s="15" t="n">
        <v>0.25</v>
      </c>
      <c r="B4" s="10">
        <f>Premissas!$B$5*(1+A4)^5</f>
        <v/>
      </c>
      <c r="C4" s="10">
        <f>B4/(1+Premissas!$B$7)^5</f>
        <v/>
      </c>
      <c r="D4" s="10">
        <f>C4-Premissas!$B$5</f>
        <v/>
      </c>
      <c r="E4" s="11">
        <f>Premissas!$G$4-D4</f>
        <v/>
      </c>
    </row>
    <row r="5">
      <c r="A5" s="12" t="n">
        <v>0.28</v>
      </c>
      <c r="B5" s="10">
        <f>Premissas!$B$5*(1+A5)^5</f>
        <v/>
      </c>
      <c r="C5" s="10">
        <f>B5/(1+Premissas!$B$7)^5</f>
        <v/>
      </c>
      <c r="D5" s="10">
        <f>C5-Premissas!$B$5</f>
        <v/>
      </c>
      <c r="E5" s="10">
        <f>Premissas!$G$4-D5</f>
        <v/>
      </c>
    </row>
    <row r="6">
      <c r="A6" s="12" t="n">
        <v>0.3</v>
      </c>
      <c r="B6" s="10">
        <f>Premissas!$B$5*(1+A6)^5</f>
        <v/>
      </c>
      <c r="C6" s="10">
        <f>B6/(1+Premissas!$B$7)^5</f>
        <v/>
      </c>
      <c r="D6" s="10">
        <f>C6-Premissas!$B$5</f>
        <v/>
      </c>
      <c r="E6" s="10">
        <f>Premissas!$G$4-D6</f>
        <v/>
      </c>
    </row>
    <row r="8">
      <c r="A8" s="9" t="inlineStr">
        <is>
          <t>POR QUE CALLBACK e não anjo puro (efeito no SUCESSO +50%):</t>
        </is>
      </c>
    </row>
    <row r="9">
      <c r="A9" s="8" t="inlineStr">
        <is>
          <t>Anjo PURO: 20% acompanha a empresa. Se vale ~16M em 2031, 20% = VP ~1.286k -&gt; extração +586 -&gt; VPL fundadores cai p/ ~777k.</t>
        </is>
      </c>
    </row>
    <row r="10">
      <c r="A10" s="8" t="inlineStr">
        <is>
          <t>Anjo CALLBACK: recompra TRAVADA no strike -&gt; extração fica em +159 a +345 -&gt; VPL fundadores segura ~1.0-1.2M mesmo no sucesso.</t>
        </is>
      </c>
    </row>
    <row r="11">
      <c r="A11" s="8" t="inlineStr">
        <is>
          <t>Ou seja: o callback capa a única fraqueza do anjo (ceder upside pra sempre). No fracasso, não exerce: dá os 20% (que valem pouco) e zera obrigação.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4" customWidth="1" min="1" max="1"/>
    <col width="42" customWidth="1" min="2" max="2"/>
    <col width="42" customWidth="1" min="3" max="3"/>
  </cols>
  <sheetData>
    <row r="1">
      <c r="A1" s="1" t="inlineStr">
        <is>
          <t>COMPORTAMENTO NOS CENÁRIOS (Q4)</t>
        </is>
      </c>
    </row>
    <row r="3">
      <c r="A3" s="2" t="inlineStr">
        <is>
          <t>Cenário</t>
        </is>
      </c>
      <c r="B3" s="2" t="inlineStr">
        <is>
          <t>PRICE</t>
        </is>
      </c>
      <c r="C3" s="2" t="inlineStr">
        <is>
          <t>ANJO COM CALLBACK</t>
        </is>
      </c>
    </row>
    <row r="4">
      <c r="A4" s="3" t="inlineStr">
        <is>
          <t>Contração (metade)</t>
        </is>
      </c>
      <c r="B4" s="4" t="inlineStr">
        <is>
          <t>Servido por negócio existente + caixa do projeto; sobrevive</t>
        </is>
      </c>
      <c r="C4" s="4" t="inlineStr">
        <is>
          <t>Zero obrigação; totalmente protegido</t>
        </is>
      </c>
    </row>
    <row r="5">
      <c r="A5" s="3" t="inlineStr">
        <is>
          <t>Expansão (+50%)</t>
        </is>
      </c>
      <c r="B5" s="4" t="inlineStr">
        <is>
          <t>Custo fixo; fundadores ficam com TODO o upside (+1.455k segura)</t>
        </is>
      </c>
      <c r="C5" s="4" t="inlineStr">
        <is>
          <t>Exerce recompra travada; retoma 100%; custo capado</t>
        </is>
      </c>
    </row>
    <row r="6">
      <c r="A6" s="3" t="inlineStr">
        <is>
          <t>Inflação alta (7%)</t>
        </is>
      </c>
      <c r="B6" s="4" t="inlineStr">
        <is>
          <t>Custo real da parcela cai (nominal fixa, Fisher)</t>
        </is>
      </c>
      <c r="C6" s="4" t="inlineStr">
        <is>
          <t>Recompra também é nominal fixa; também se beneficia</t>
        </is>
      </c>
    </row>
    <row r="9">
      <c r="A9" s="8" t="inlineStr">
        <is>
          <t>PREMISSA CRÍTICA (Q5): P(perder 1 dos 2 clientes E projeto falhar, correlacionados, anos 1-2) baixa, E caixa livre aguenta 187k/ano.</t>
        </is>
      </c>
    </row>
    <row r="10">
      <c r="A10" s="8" t="inlineStr">
        <is>
          <t>PLANO B: o projeto é a diversificação (concentração cai em 2-3 anos). Se Price e o choque vier cedo, o anjo-com-callback é o backstop.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2026-06-01T13:29:55Z</dcterms:created>
  <dcterms:modified xmlns:dcterms="http://purl.org/dc/terms/" xmlns:xsi="http://www.w3.org/2001/XMLSchema-instance" xsi:type="dcterms:W3CDTF">2026-06-01T13:29:55Z</dcterms:modified>
</cp:coreProperties>
</file>