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rthurmalucelli/FGV/ProdutosFinanceiros/Aulas/06.01/"/>
    </mc:Choice>
  </mc:AlternateContent>
  <xr:revisionPtr revIDLastSave="0" documentId="13_ncr:1_{5C3E1081-366A-F748-8E1C-BA0F51ED3EEB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Resumo" sheetId="1" r:id="rId1"/>
    <sheet name="Premissas" sheetId="2" r:id="rId2"/>
    <sheet name="Price" sheetId="3" r:id="rId3"/>
    <sheet name="Anjo" sheetId="4" r:id="rId4"/>
    <sheet name="Cenari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C6" i="4" s="1"/>
  <c r="D6" i="4" s="1"/>
  <c r="B5" i="4"/>
  <c r="C5" i="4" s="1"/>
  <c r="D5" i="4" s="1"/>
  <c r="B4" i="4"/>
  <c r="C4" i="4" s="1"/>
  <c r="E4" i="3"/>
  <c r="E63" i="3" s="1"/>
  <c r="C4" i="3"/>
  <c r="B4" i="3"/>
  <c r="B11" i="2"/>
  <c r="B10" i="2"/>
  <c r="G5" i="2"/>
  <c r="G3" i="2"/>
  <c r="G4" i="2" s="1"/>
  <c r="C5" i="1"/>
  <c r="B5" i="1"/>
  <c r="E6" i="4" l="1"/>
  <c r="E5" i="4"/>
  <c r="C6" i="1"/>
  <c r="B6" i="1"/>
  <c r="E41" i="3"/>
  <c r="E56" i="3"/>
  <c r="E48" i="3"/>
  <c r="E40" i="3"/>
  <c r="E32" i="3"/>
  <c r="E24" i="3"/>
  <c r="E16" i="3"/>
  <c r="E7" i="3"/>
  <c r="E59" i="3"/>
  <c r="E51" i="3"/>
  <c r="E43" i="3"/>
  <c r="E35" i="3"/>
  <c r="E27" i="3"/>
  <c r="E19" i="3"/>
  <c r="E11" i="3"/>
  <c r="E62" i="3"/>
  <c r="E60" i="3"/>
  <c r="E58" i="3"/>
  <c r="E30" i="3"/>
  <c r="E28" i="3"/>
  <c r="E26" i="3"/>
  <c r="E9" i="3"/>
  <c r="I7" i="3"/>
  <c r="E46" i="3"/>
  <c r="E44" i="3"/>
  <c r="E42" i="3"/>
  <c r="E12" i="3"/>
  <c r="E8" i="3"/>
  <c r="E33" i="3"/>
  <c r="E29" i="3"/>
  <c r="E54" i="3"/>
  <c r="E52" i="3"/>
  <c r="E50" i="3"/>
  <c r="E22" i="3"/>
  <c r="E18" i="3"/>
  <c r="E49" i="3"/>
  <c r="E47" i="3"/>
  <c r="E45" i="3"/>
  <c r="E17" i="3"/>
  <c r="E15" i="3"/>
  <c r="E13" i="3"/>
  <c r="E53" i="3"/>
  <c r="E23" i="3"/>
  <c r="E14" i="3"/>
  <c r="E10" i="3"/>
  <c r="E31" i="3"/>
  <c r="E61" i="3"/>
  <c r="E20" i="3"/>
  <c r="E6" i="3"/>
  <c r="E38" i="3"/>
  <c r="E36" i="3"/>
  <c r="E34" i="3"/>
  <c r="E5" i="3"/>
  <c r="I3" i="3"/>
  <c r="E57" i="3"/>
  <c r="E55" i="3"/>
  <c r="E25" i="3"/>
  <c r="E21" i="3"/>
  <c r="E37" i="3"/>
  <c r="E39" i="3"/>
  <c r="D4" i="3"/>
  <c r="F4" i="3"/>
  <c r="B5" i="3" s="1"/>
  <c r="C8" i="1"/>
  <c r="D4" i="4"/>
  <c r="C9" i="1" s="1"/>
  <c r="I8" i="3" l="1"/>
  <c r="B9" i="1" s="1"/>
  <c r="B8" i="1"/>
  <c r="E4" i="4"/>
  <c r="C10" i="1" s="1"/>
  <c r="C5" i="3"/>
  <c r="D5" i="3" s="1"/>
  <c r="F5" i="3" s="1"/>
  <c r="B6" i="3" s="1"/>
  <c r="I5" i="3"/>
  <c r="I6" i="3" s="1"/>
  <c r="I9" i="3"/>
  <c r="B10" i="1" s="1"/>
  <c r="I4" i="3"/>
  <c r="B7" i="1" s="1"/>
  <c r="C6" i="3" l="1"/>
  <c r="D6" i="3" s="1"/>
  <c r="F6" i="3" s="1"/>
  <c r="B7" i="3" s="1"/>
  <c r="C7" i="3" l="1"/>
  <c r="D7" i="3" s="1"/>
  <c r="F7" i="3" s="1"/>
  <c r="B8" i="3" s="1"/>
  <c r="C8" i="3" l="1"/>
  <c r="D8" i="3" s="1"/>
  <c r="F8" i="3" s="1"/>
  <c r="B9" i="3" s="1"/>
  <c r="C9" i="3" l="1"/>
  <c r="D9" i="3" s="1"/>
  <c r="F9" i="3"/>
  <c r="B10" i="3" s="1"/>
  <c r="C10" i="3" l="1"/>
  <c r="D10" i="3" s="1"/>
  <c r="F10" i="3"/>
  <c r="B11" i="3" s="1"/>
  <c r="C11" i="3" l="1"/>
  <c r="D11" i="3" s="1"/>
  <c r="F11" i="3" s="1"/>
  <c r="B12" i="3" s="1"/>
  <c r="C12" i="3" l="1"/>
  <c r="D12" i="3" s="1"/>
  <c r="F12" i="3"/>
  <c r="B13" i="3" s="1"/>
  <c r="C13" i="3" l="1"/>
  <c r="D13" i="3" s="1"/>
  <c r="F13" i="3"/>
  <c r="B14" i="3" s="1"/>
  <c r="C14" i="3" l="1"/>
  <c r="D14" i="3" s="1"/>
  <c r="F14" i="3" s="1"/>
  <c r="B15" i="3" s="1"/>
  <c r="C15" i="3" l="1"/>
  <c r="D15" i="3" s="1"/>
  <c r="F15" i="3" s="1"/>
  <c r="B16" i="3" s="1"/>
  <c r="C16" i="3" l="1"/>
  <c r="D16" i="3" s="1"/>
  <c r="F16" i="3" s="1"/>
  <c r="B17" i="3" s="1"/>
  <c r="C17" i="3" l="1"/>
  <c r="D17" i="3" s="1"/>
  <c r="F17" i="3" s="1"/>
  <c r="B18" i="3" s="1"/>
  <c r="C18" i="3" l="1"/>
  <c r="D18" i="3" s="1"/>
  <c r="F18" i="3" s="1"/>
  <c r="B19" i="3" s="1"/>
  <c r="C19" i="3" l="1"/>
  <c r="D19" i="3" s="1"/>
  <c r="F19" i="3" s="1"/>
  <c r="B20" i="3" s="1"/>
  <c r="C20" i="3" l="1"/>
  <c r="D20" i="3" s="1"/>
  <c r="F20" i="3"/>
  <c r="B21" i="3" s="1"/>
  <c r="C21" i="3" l="1"/>
  <c r="D21" i="3" s="1"/>
  <c r="F21" i="3" s="1"/>
  <c r="B22" i="3" s="1"/>
  <c r="C22" i="3" l="1"/>
  <c r="D22" i="3" s="1"/>
  <c r="F22" i="3" s="1"/>
  <c r="B23" i="3" s="1"/>
  <c r="C23" i="3" l="1"/>
  <c r="D23" i="3" s="1"/>
  <c r="F23" i="3"/>
  <c r="B24" i="3" s="1"/>
  <c r="C24" i="3" l="1"/>
  <c r="D24" i="3" s="1"/>
  <c r="F24" i="3"/>
  <c r="B25" i="3" s="1"/>
  <c r="C25" i="3" l="1"/>
  <c r="D25" i="3" s="1"/>
  <c r="F25" i="3"/>
  <c r="B26" i="3" s="1"/>
  <c r="C26" i="3" l="1"/>
  <c r="D26" i="3" s="1"/>
  <c r="F26" i="3"/>
  <c r="B27" i="3" s="1"/>
  <c r="C27" i="3" l="1"/>
  <c r="D27" i="3" s="1"/>
  <c r="F27" i="3" s="1"/>
  <c r="B28" i="3" s="1"/>
  <c r="C28" i="3" l="1"/>
  <c r="D28" i="3" s="1"/>
  <c r="F28" i="3"/>
  <c r="B29" i="3" s="1"/>
  <c r="C29" i="3" l="1"/>
  <c r="D29" i="3" s="1"/>
  <c r="F29" i="3"/>
  <c r="B30" i="3" s="1"/>
  <c r="C30" i="3" l="1"/>
  <c r="D30" i="3" s="1"/>
  <c r="F30" i="3" s="1"/>
  <c r="B31" i="3" s="1"/>
  <c r="C31" i="3" l="1"/>
  <c r="D31" i="3" s="1"/>
  <c r="F31" i="3" s="1"/>
  <c r="B32" i="3" s="1"/>
  <c r="C32" i="3" l="1"/>
  <c r="D32" i="3" s="1"/>
  <c r="F32" i="3" s="1"/>
  <c r="B33" i="3" s="1"/>
  <c r="C33" i="3" l="1"/>
  <c r="D33" i="3" s="1"/>
  <c r="F33" i="3" s="1"/>
  <c r="B34" i="3" s="1"/>
  <c r="C34" i="3" l="1"/>
  <c r="D34" i="3" s="1"/>
  <c r="F34" i="3" s="1"/>
  <c r="B35" i="3" s="1"/>
  <c r="C35" i="3" l="1"/>
  <c r="D35" i="3" s="1"/>
  <c r="F35" i="3" s="1"/>
  <c r="B36" i="3" s="1"/>
  <c r="C36" i="3" l="1"/>
  <c r="D36" i="3" s="1"/>
  <c r="F36" i="3" s="1"/>
  <c r="B37" i="3" s="1"/>
  <c r="C37" i="3" l="1"/>
  <c r="D37" i="3" s="1"/>
  <c r="F37" i="3"/>
  <c r="B38" i="3" s="1"/>
  <c r="C38" i="3" l="1"/>
  <c r="D38" i="3" s="1"/>
  <c r="F38" i="3" s="1"/>
  <c r="B39" i="3" s="1"/>
  <c r="C39" i="3" l="1"/>
  <c r="D39" i="3" s="1"/>
  <c r="F39" i="3" s="1"/>
  <c r="B40" i="3" s="1"/>
  <c r="C40" i="3" l="1"/>
  <c r="D40" i="3" s="1"/>
  <c r="F40" i="3"/>
  <c r="B41" i="3" s="1"/>
  <c r="C41" i="3" l="1"/>
  <c r="D41" i="3" s="1"/>
  <c r="F41" i="3" s="1"/>
  <c r="B42" i="3" s="1"/>
  <c r="C42" i="3" l="1"/>
  <c r="D42" i="3" s="1"/>
  <c r="F42" i="3"/>
  <c r="B43" i="3" s="1"/>
  <c r="C43" i="3" l="1"/>
  <c r="D43" i="3" s="1"/>
  <c r="F43" i="3" s="1"/>
  <c r="B44" i="3" s="1"/>
  <c r="C44" i="3" l="1"/>
  <c r="D44" i="3" s="1"/>
  <c r="F44" i="3"/>
  <c r="B45" i="3" s="1"/>
  <c r="C45" i="3" l="1"/>
  <c r="D45" i="3" s="1"/>
  <c r="F45" i="3" s="1"/>
  <c r="B46" i="3" s="1"/>
  <c r="C46" i="3" l="1"/>
  <c r="D46" i="3" s="1"/>
  <c r="F46" i="3" s="1"/>
  <c r="B47" i="3" s="1"/>
  <c r="C47" i="3" l="1"/>
  <c r="D47" i="3" s="1"/>
  <c r="F47" i="3" s="1"/>
  <c r="B48" i="3" s="1"/>
  <c r="C48" i="3" l="1"/>
  <c r="D48" i="3" s="1"/>
  <c r="F48" i="3"/>
  <c r="B49" i="3" s="1"/>
  <c r="C49" i="3" l="1"/>
  <c r="D49" i="3" s="1"/>
  <c r="F49" i="3" s="1"/>
  <c r="B50" i="3" s="1"/>
  <c r="C50" i="3" l="1"/>
  <c r="D50" i="3" s="1"/>
  <c r="F50" i="3"/>
  <c r="B51" i="3" s="1"/>
  <c r="C51" i="3" l="1"/>
  <c r="D51" i="3" s="1"/>
  <c r="F51" i="3" s="1"/>
  <c r="B52" i="3" s="1"/>
  <c r="C52" i="3" l="1"/>
  <c r="D52" i="3" s="1"/>
  <c r="F52" i="3" s="1"/>
  <c r="B53" i="3" s="1"/>
  <c r="C53" i="3" l="1"/>
  <c r="D53" i="3" s="1"/>
  <c r="F53" i="3"/>
  <c r="B54" i="3" s="1"/>
  <c r="C54" i="3" l="1"/>
  <c r="D54" i="3" s="1"/>
  <c r="F54" i="3" s="1"/>
  <c r="B55" i="3" s="1"/>
  <c r="C55" i="3" l="1"/>
  <c r="D55" i="3" s="1"/>
  <c r="F55" i="3"/>
  <c r="B56" i="3" s="1"/>
  <c r="C56" i="3" l="1"/>
  <c r="D56" i="3" s="1"/>
  <c r="F56" i="3"/>
  <c r="B57" i="3" s="1"/>
  <c r="C57" i="3" l="1"/>
  <c r="D57" i="3" s="1"/>
  <c r="F57" i="3"/>
  <c r="B58" i="3" s="1"/>
  <c r="C58" i="3" l="1"/>
  <c r="D58" i="3" s="1"/>
  <c r="F58" i="3"/>
  <c r="B59" i="3" s="1"/>
  <c r="F59" i="3" l="1"/>
  <c r="B60" i="3" s="1"/>
  <c r="C59" i="3"/>
  <c r="D59" i="3" s="1"/>
  <c r="C60" i="3" l="1"/>
  <c r="D60" i="3" s="1"/>
  <c r="F60" i="3"/>
  <c r="B61" i="3" s="1"/>
  <c r="C61" i="3" l="1"/>
  <c r="D61" i="3" s="1"/>
  <c r="F61" i="3"/>
  <c r="B62" i="3" s="1"/>
  <c r="C62" i="3" l="1"/>
  <c r="D62" i="3" s="1"/>
  <c r="F62" i="3" s="1"/>
  <c r="B63" i="3" s="1"/>
  <c r="C63" i="3" l="1"/>
  <c r="D63" i="3" s="1"/>
  <c r="F63" i="3" s="1"/>
</calcChain>
</file>

<file path=xl/sharedStrings.xml><?xml version="1.0" encoding="utf-8"?>
<sst xmlns="http://schemas.openxmlformats.org/spreadsheetml/2006/main" count="79" uniqueCount="76">
  <si>
    <t>ELETRIC SOLUTIONS — PRICE vs ANJO COM CALLBACK (R$ mil)</t>
  </si>
  <si>
    <t>Métrica</t>
  </si>
  <si>
    <t>PRICE</t>
  </si>
  <si>
    <t>ANJO COM CALLBACK</t>
  </si>
  <si>
    <t>Captação dos R$ 700k</t>
  </si>
  <si>
    <t>Dívida, 12% a.a. (1%/mês), 60 meses</t>
  </si>
  <si>
    <t>Equity por 20% + opção de recompra</t>
  </si>
  <si>
    <t>Taxa de desconto do projeto (Ku)</t>
  </si>
  <si>
    <t>VPL DO PROJETO (igual, MM)</t>
  </si>
  <si>
    <t>Desembolso anos 1-5</t>
  </si>
  <si>
    <t>ZERO</t>
  </si>
  <si>
    <t>VP do custo do financiamento</t>
  </si>
  <si>
    <t>Extração do financiador (VP)</t>
  </si>
  <si>
    <t>VPL PARA OS FUNDADORES</t>
  </si>
  <si>
    <t>Equity final dos fundadores</t>
  </si>
  <si>
    <t>100%</t>
  </si>
  <si>
    <t>100% se exercer / 80% se não</t>
  </si>
  <si>
    <t>Proteção de downside</t>
  </si>
  <si>
    <t>Não (dívida rígida)</t>
  </si>
  <si>
    <t>Sim (zero obrigação)</t>
  </si>
  <si>
    <t>Risco que se aceita</t>
  </si>
  <si>
    <t>Obrigação rígida sufoca no choque</t>
  </si>
  <si>
    <t>Mais caro; caixa p/ recompra; anjo aceitar teto</t>
  </si>
  <si>
    <t>PREMISSAS (R$ mil)</t>
  </si>
  <si>
    <t>Ano</t>
  </si>
  <si>
    <t>FCF</t>
  </si>
  <si>
    <t>VALUATION DO PROJETO</t>
  </si>
  <si>
    <t>Investimento total</t>
  </si>
  <si>
    <t>PV das entradas</t>
  </si>
  <si>
    <t>Caixa próprio</t>
  </si>
  <si>
    <t>VPL do projeto</t>
  </si>
  <si>
    <t>Gap a financiar</t>
  </si>
  <si>
    <t>Valor terminal (t=5)</t>
  </si>
  <si>
    <t>g (crescimento perpétuo)</t>
  </si>
  <si>
    <t>Taxa desconto Ku [INPUT]</t>
  </si>
  <si>
    <t>Selic</t>
  </si>
  <si>
    <t>Taxa empréstimo a.a.</t>
  </si>
  <si>
    <t>Taxa empréstimo mensal</t>
  </si>
  <si>
    <t>Taxa desconto mensal</t>
  </si>
  <si>
    <t>Anjo: strike recompra [INPUT]</t>
  </si>
  <si>
    <t>PRICE — 700k, 1%/mês, 60 meses</t>
  </si>
  <si>
    <t>Mês</t>
  </si>
  <si>
    <t>Saldo ini.</t>
  </si>
  <si>
    <t>Juros</t>
  </si>
  <si>
    <t>Amort.</t>
  </si>
  <si>
    <t>Parcela</t>
  </si>
  <si>
    <t>Saldo fim</t>
  </si>
  <si>
    <t>Parcela/mês</t>
  </si>
  <si>
    <t>Desembolso ano 1</t>
  </si>
  <si>
    <t>Total pago</t>
  </si>
  <si>
    <t>Juros totais</t>
  </si>
  <si>
    <t>VP do custo @Ku</t>
  </si>
  <si>
    <t>Extração do banco (VP-700)</t>
  </si>
  <si>
    <t>VPL FUNDADORES</t>
  </si>
  <si>
    <t>ANJO COM CALLBACK — 700k por 20%, recompra opcional no ano 5</t>
  </si>
  <si>
    <t>Strike a.a.</t>
  </si>
  <si>
    <t>Recompra nominal (ano 5)</t>
  </si>
  <si>
    <t>VP recompra @Ku</t>
  </si>
  <si>
    <t>Extração (VP-700)</t>
  </si>
  <si>
    <t>POR QUE CALLBACK e não anjo puro (efeito no SUCESSO +50%):</t>
  </si>
  <si>
    <t>Anjo PURO: 20% acompanha a empresa. Se vale ~16M em 2031, 20% = VP ~1.286k -&gt; extração +586 -&gt; VPL fundadores cai p/ ~777k.</t>
  </si>
  <si>
    <t>Anjo CALLBACK: recompra TRAVADA no strike -&gt; extração fica em +159 a +345 -&gt; VPL fundadores segura ~1.0-1.2M mesmo no sucesso.</t>
  </si>
  <si>
    <t>Ou seja: o callback capa a única fraqueza do anjo (ceder upside pra sempre). No fracasso, não exerce: dá os 20% (que valem pouco) e zera obrigação.</t>
  </si>
  <si>
    <t>COMPORTAMENTO NOS CENÁRIOS (Q4)</t>
  </si>
  <si>
    <t>Cenário</t>
  </si>
  <si>
    <t>Contração (metade)</t>
  </si>
  <si>
    <t>Servido por negócio existente + caixa do projeto; sobrevive</t>
  </si>
  <si>
    <t>Zero obrigação; totalmente protegido</t>
  </si>
  <si>
    <t>Expansão (+50%)</t>
  </si>
  <si>
    <t>Custo fixo; fundadores ficam com TODO o upside (+1.455k segura)</t>
  </si>
  <si>
    <t>Exerce recompra travada; retoma 100%; custo capado</t>
  </si>
  <si>
    <t>Inflação alta (7%)</t>
  </si>
  <si>
    <t>Custo real da parcela cai (nominal fixa, Fisher)</t>
  </si>
  <si>
    <t>Recompra também é nominal fixa; também se beneficia</t>
  </si>
  <si>
    <t xml:space="preserve">Proposta: </t>
  </si>
  <si>
    <t xml:space="preserve">Recomendamos Price se o caixa livre aguenta a parcela de 187k/ano mesmo num cenário de perda de cliente, é a mais barata, mantém 100% do equity, devolve +1.455k ao fundador. Se o caixa é frágil demais pra essa obrigação rígida no período de queima, vou de anjo com callback, zera a obrigação e protege o downside, e a recompra no ano 5 me devolve o equity em vez de cedê-lo pra sempre. Paga um prêmio por isso (VPL fundador cai pra ~1.205k), mas é o preço do seguro.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</si>
</sst>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3" fontId="3" fillId="3" borderId="1" xfId="0" applyNumberFormat="1" applyFont="1" applyFill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/>
    <xf numFmtId="3" fontId="0" fillId="0" borderId="0" xfId="0" applyNumberFormat="1"/>
    <xf numFmtId="3" fontId="3" fillId="3" borderId="0" xfId="0" applyNumberFormat="1" applyFont="1" applyFill="1"/>
    <xf numFmtId="164" fontId="0" fillId="0" borderId="0" xfId="0" applyNumberFormat="1"/>
    <xf numFmtId="164" fontId="3" fillId="4" borderId="0" xfId="0" applyNumberFormat="1" applyFont="1" applyFill="1"/>
    <xf numFmtId="10" fontId="0" fillId="0" borderId="0" xfId="0" applyNumberFormat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17" sqref="C17"/>
    </sheetView>
  </sheetViews>
  <sheetFormatPr baseColWidth="10" defaultColWidth="8.83203125" defaultRowHeight="15" x14ac:dyDescent="0.2"/>
  <cols>
    <col min="1" max="2" width="34" customWidth="1"/>
    <col min="3" max="3" width="40" customWidth="1"/>
  </cols>
  <sheetData>
    <row r="1" spans="1:3" ht="17" x14ac:dyDescent="0.2">
      <c r="A1" s="1" t="s">
        <v>0</v>
      </c>
    </row>
    <row r="3" spans="1:3" ht="16" x14ac:dyDescent="0.2">
      <c r="A3" s="2" t="s">
        <v>1</v>
      </c>
      <c r="B3" s="2" t="s">
        <v>2</v>
      </c>
      <c r="C3" s="2" t="s">
        <v>3</v>
      </c>
    </row>
    <row r="4" spans="1:3" ht="16" x14ac:dyDescent="0.2">
      <c r="A4" s="3" t="s">
        <v>4</v>
      </c>
      <c r="B4" s="4" t="s">
        <v>5</v>
      </c>
      <c r="C4" s="4" t="s">
        <v>6</v>
      </c>
    </row>
    <row r="5" spans="1:3" ht="16" x14ac:dyDescent="0.2">
      <c r="A5" s="3" t="s">
        <v>7</v>
      </c>
      <c r="B5" s="5">
        <f>Premissas!B7</f>
        <v>0.2</v>
      </c>
      <c r="C5" s="5">
        <f>Premissas!B7</f>
        <v>0.2</v>
      </c>
    </row>
    <row r="6" spans="1:3" ht="16" x14ac:dyDescent="0.2">
      <c r="A6" s="3" t="s">
        <v>8</v>
      </c>
      <c r="B6" s="6">
        <f>Premissas!G4</f>
        <v>1363.233024691358</v>
      </c>
      <c r="C6" s="6">
        <f>Premissas!G4</f>
        <v>1363.233024691358</v>
      </c>
    </row>
    <row r="7" spans="1:3" ht="16" x14ac:dyDescent="0.2">
      <c r="A7" s="3" t="s">
        <v>9</v>
      </c>
      <c r="B7" s="4" t="str">
        <f>TEXT(Price!I4,"#,##0") &amp; " /ano (fixo)"</f>
        <v>186,853 /ano (fixo)</v>
      </c>
      <c r="C7" s="4" t="s">
        <v>10</v>
      </c>
    </row>
    <row r="8" spans="1:3" ht="16" x14ac:dyDescent="0.2">
      <c r="A8" s="3" t="s">
        <v>11</v>
      </c>
      <c r="B8" s="7">
        <f>Price!I7</f>
        <v>608.34449768043282</v>
      </c>
      <c r="C8" s="7">
        <f>Anjo!C4</f>
        <v>858.50311404883621</v>
      </c>
    </row>
    <row r="9" spans="1:3" ht="16" x14ac:dyDescent="0.2">
      <c r="A9" s="3" t="s">
        <v>12</v>
      </c>
      <c r="B9" s="7">
        <f>Price!I8</f>
        <v>-91.655502319567177</v>
      </c>
      <c r="C9" s="7">
        <f>Anjo!D4</f>
        <v>158.50311404883621</v>
      </c>
    </row>
    <row r="10" spans="1:3" ht="16" x14ac:dyDescent="0.2">
      <c r="A10" s="3" t="s">
        <v>13</v>
      </c>
      <c r="B10" s="6">
        <f>Price!I9</f>
        <v>1454.8885270109251</v>
      </c>
      <c r="C10" s="6">
        <f>Anjo!E4</f>
        <v>1204.7299106425216</v>
      </c>
    </row>
    <row r="11" spans="1:3" ht="16" x14ac:dyDescent="0.2">
      <c r="A11" s="3" t="s">
        <v>14</v>
      </c>
      <c r="B11" s="4" t="s">
        <v>15</v>
      </c>
      <c r="C11" s="4" t="s">
        <v>16</v>
      </c>
    </row>
    <row r="12" spans="1:3" ht="16" x14ac:dyDescent="0.2">
      <c r="A12" s="3" t="s">
        <v>17</v>
      </c>
      <c r="B12" s="4" t="s">
        <v>18</v>
      </c>
      <c r="C12" s="4" t="s">
        <v>19</v>
      </c>
    </row>
    <row r="13" spans="1:3" ht="16" x14ac:dyDescent="0.2">
      <c r="A13" s="3" t="s">
        <v>20</v>
      </c>
      <c r="B13" s="4" t="s">
        <v>21</v>
      </c>
      <c r="C13" s="4" t="s">
        <v>22</v>
      </c>
    </row>
    <row r="16" spans="1:3" ht="16" x14ac:dyDescent="0.2">
      <c r="A16" s="2" t="s">
        <v>74</v>
      </c>
    </row>
    <row r="17" spans="1:1" ht="256" x14ac:dyDescent="0.2">
      <c r="A17" s="2" t="s">
        <v>75</v>
      </c>
    </row>
    <row r="18" spans="1:1" x14ac:dyDescent="0.2">
      <c r="A18" s="8"/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zoomScale="150" workbookViewId="0">
      <selection activeCell="A30" sqref="A30"/>
    </sheetView>
  </sheetViews>
  <sheetFormatPr baseColWidth="10" defaultColWidth="8.83203125" defaultRowHeight="15" x14ac:dyDescent="0.2"/>
  <cols>
    <col min="1" max="1" width="28" customWidth="1"/>
    <col min="6" max="6" width="20" customWidth="1"/>
  </cols>
  <sheetData>
    <row r="1" spans="1:7" ht="17" x14ac:dyDescent="0.2">
      <c r="A1" s="1" t="s">
        <v>23</v>
      </c>
    </row>
    <row r="2" spans="1:7" x14ac:dyDescent="0.2">
      <c r="D2" s="9" t="s">
        <v>24</v>
      </c>
      <c r="E2" s="9" t="s">
        <v>25</v>
      </c>
      <c r="G2" s="9" t="s">
        <v>26</v>
      </c>
    </row>
    <row r="3" spans="1:7" x14ac:dyDescent="0.2">
      <c r="A3" t="s">
        <v>27</v>
      </c>
      <c r="B3" s="10">
        <v>1000</v>
      </c>
      <c r="D3">
        <v>1</v>
      </c>
      <c r="E3" s="10">
        <v>-200</v>
      </c>
      <c r="F3" t="s">
        <v>28</v>
      </c>
      <c r="G3" s="10">
        <f>SUMPRODUCT(E3:E7,1/(1+B7)^D3:D7)+(E7*(1+B6)/(B7-B6))/(1+B7)^5</f>
        <v>2363.233024691358</v>
      </c>
    </row>
    <row r="4" spans="1:7" x14ac:dyDescent="0.2">
      <c r="A4" t="s">
        <v>29</v>
      </c>
      <c r="B4" s="10">
        <v>300</v>
      </c>
      <c r="D4">
        <v>2</v>
      </c>
      <c r="E4" s="10">
        <v>150</v>
      </c>
      <c r="F4" s="9" t="s">
        <v>30</v>
      </c>
      <c r="G4" s="11">
        <f>-B3+G3</f>
        <v>1363.233024691358</v>
      </c>
    </row>
    <row r="5" spans="1:7" x14ac:dyDescent="0.2">
      <c r="A5" t="s">
        <v>31</v>
      </c>
      <c r="B5" s="10">
        <v>700</v>
      </c>
      <c r="D5">
        <v>3</v>
      </c>
      <c r="E5" s="10">
        <v>400</v>
      </c>
      <c r="F5" t="s">
        <v>32</v>
      </c>
      <c r="G5" s="10">
        <f>E7*(1+B6)/(B7-B6)</f>
        <v>4199.9999999999991</v>
      </c>
    </row>
    <row r="6" spans="1:7" x14ac:dyDescent="0.2">
      <c r="A6" t="s">
        <v>33</v>
      </c>
      <c r="B6" s="12">
        <v>0.05</v>
      </c>
      <c r="D6">
        <v>4</v>
      </c>
      <c r="E6" s="10">
        <v>550</v>
      </c>
    </row>
    <row r="7" spans="1:7" x14ac:dyDescent="0.2">
      <c r="A7" t="s">
        <v>34</v>
      </c>
      <c r="B7" s="13">
        <v>0.2</v>
      </c>
      <c r="D7">
        <v>5</v>
      </c>
      <c r="E7" s="10">
        <v>600</v>
      </c>
    </row>
    <row r="8" spans="1:7" x14ac:dyDescent="0.2">
      <c r="A8" t="s">
        <v>35</v>
      </c>
      <c r="B8" s="12">
        <v>0.105</v>
      </c>
    </row>
    <row r="9" spans="1:7" x14ac:dyDescent="0.2">
      <c r="A9" t="s">
        <v>36</v>
      </c>
      <c r="B9" s="12">
        <v>0.12</v>
      </c>
    </row>
    <row r="10" spans="1:7" x14ac:dyDescent="0.2">
      <c r="A10" t="s">
        <v>37</v>
      </c>
      <c r="B10" s="14">
        <f>B9/12</f>
        <v>0.01</v>
      </c>
    </row>
    <row r="11" spans="1:7" x14ac:dyDescent="0.2">
      <c r="A11" t="s">
        <v>38</v>
      </c>
      <c r="B11" s="14">
        <f>(1+B7)^(1/12)-1</f>
        <v>1.5309470499731193E-2</v>
      </c>
    </row>
    <row r="12" spans="1:7" x14ac:dyDescent="0.2">
      <c r="A12" t="s">
        <v>39</v>
      </c>
      <c r="B12" s="13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3"/>
  <sheetViews>
    <sheetView zoomScale="200" workbookViewId="0">
      <selection activeCell="I7" sqref="I7"/>
    </sheetView>
  </sheetViews>
  <sheetFormatPr baseColWidth="10" defaultColWidth="8.83203125" defaultRowHeight="15" x14ac:dyDescent="0.2"/>
  <cols>
    <col min="8" max="8" width="24" customWidth="1"/>
    <col min="9" max="9" width="12" customWidth="1"/>
  </cols>
  <sheetData>
    <row r="1" spans="1:9" ht="17" x14ac:dyDescent="0.2">
      <c r="A1" s="1" t="s">
        <v>40</v>
      </c>
    </row>
    <row r="3" spans="1:9" ht="16" x14ac:dyDescent="0.2">
      <c r="A3" s="2" t="s">
        <v>41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H3" t="s">
        <v>47</v>
      </c>
      <c r="I3" s="10">
        <f>E4</f>
        <v>15.571113379431241</v>
      </c>
    </row>
    <row r="4" spans="1:9" x14ac:dyDescent="0.2">
      <c r="A4">
        <v>1</v>
      </c>
      <c r="B4" s="10">
        <f>Premissas!$B$5</f>
        <v>700</v>
      </c>
      <c r="C4" s="10">
        <f>B4*Premissas!$B$10</f>
        <v>7</v>
      </c>
      <c r="D4" s="10">
        <f t="shared" ref="D4:D35" si="0">E4-C4</f>
        <v>8.5711133794312406</v>
      </c>
      <c r="E4" s="10">
        <f>PMT(Premissas!$B$10,60,-Premissas!$B$5)</f>
        <v>15.571113379431241</v>
      </c>
      <c r="F4" s="10">
        <f t="shared" ref="F4:F35" si="1">B4-D4</f>
        <v>691.42888662056873</v>
      </c>
      <c r="H4" t="s">
        <v>48</v>
      </c>
      <c r="I4" s="10">
        <f>SUM(E4:E15)</f>
        <v>186.85336055317489</v>
      </c>
    </row>
    <row r="5" spans="1:9" x14ac:dyDescent="0.2">
      <c r="A5">
        <v>2</v>
      </c>
      <c r="B5" s="10">
        <f t="shared" ref="B5:B36" si="2">F4</f>
        <v>691.42888662056873</v>
      </c>
      <c r="C5" s="10">
        <f>B5*Premissas!$B$10</f>
        <v>6.9142888662056876</v>
      </c>
      <c r="D5" s="10">
        <f t="shared" si="0"/>
        <v>8.656824513225553</v>
      </c>
      <c r="E5" s="10">
        <f t="shared" ref="E5:E36" si="3">$E$4</f>
        <v>15.571113379431241</v>
      </c>
      <c r="F5" s="10">
        <f t="shared" si="1"/>
        <v>682.77206210734323</v>
      </c>
      <c r="H5" t="s">
        <v>49</v>
      </c>
      <c r="I5" s="10">
        <f>SUM(E4:E63)</f>
        <v>934.26680276587558</v>
      </c>
    </row>
    <row r="6" spans="1:9" x14ac:dyDescent="0.2">
      <c r="A6">
        <v>3</v>
      </c>
      <c r="B6" s="10">
        <f t="shared" si="2"/>
        <v>682.77206210734323</v>
      </c>
      <c r="C6" s="10">
        <f>B6*Premissas!$B$10</f>
        <v>6.827720621073432</v>
      </c>
      <c r="D6" s="10">
        <f t="shared" si="0"/>
        <v>8.7433927583578086</v>
      </c>
      <c r="E6" s="10">
        <f t="shared" si="3"/>
        <v>15.571113379431241</v>
      </c>
      <c r="F6" s="10">
        <f t="shared" si="1"/>
        <v>674.02866934898543</v>
      </c>
      <c r="H6" t="s">
        <v>50</v>
      </c>
      <c r="I6" s="10">
        <f>I5-Premissas!B5</f>
        <v>234.26680276587558</v>
      </c>
    </row>
    <row r="7" spans="1:9" x14ac:dyDescent="0.2">
      <c r="A7">
        <v>4</v>
      </c>
      <c r="B7" s="10">
        <f t="shared" si="2"/>
        <v>674.02866934898543</v>
      </c>
      <c r="C7" s="10">
        <f>B7*Premissas!$B$10</f>
        <v>6.7402866934898542</v>
      </c>
      <c r="D7" s="10">
        <f t="shared" si="0"/>
        <v>8.8308266859413855</v>
      </c>
      <c r="E7" s="10">
        <f t="shared" si="3"/>
        <v>15.571113379431241</v>
      </c>
      <c r="F7" s="10">
        <f t="shared" si="1"/>
        <v>665.19784266304407</v>
      </c>
      <c r="H7" t="s">
        <v>51</v>
      </c>
      <c r="I7" s="10">
        <f>SUMPRODUCT(E4:E63,1/(1+Premissas!$B$11)^A4:A63)</f>
        <v>608.34449768043282</v>
      </c>
    </row>
    <row r="8" spans="1:9" x14ac:dyDescent="0.2">
      <c r="A8">
        <v>5</v>
      </c>
      <c r="B8" s="10">
        <f t="shared" si="2"/>
        <v>665.19784266304407</v>
      </c>
      <c r="C8" s="10">
        <f>B8*Premissas!$B$10</f>
        <v>6.6519784266304409</v>
      </c>
      <c r="D8" s="10">
        <f t="shared" si="0"/>
        <v>8.9191349528007997</v>
      </c>
      <c r="E8" s="10">
        <f t="shared" si="3"/>
        <v>15.571113379431241</v>
      </c>
      <c r="F8" s="10">
        <f t="shared" si="1"/>
        <v>656.27870771024322</v>
      </c>
      <c r="H8" t="s">
        <v>52</v>
      </c>
      <c r="I8" s="10">
        <f>I7-Premissas!B5</f>
        <v>-91.655502319567177</v>
      </c>
    </row>
    <row r="9" spans="1:9" x14ac:dyDescent="0.2">
      <c r="A9">
        <v>6</v>
      </c>
      <c r="B9" s="10">
        <f t="shared" si="2"/>
        <v>656.27870771024322</v>
      </c>
      <c r="C9" s="10">
        <f>B9*Premissas!$B$10</f>
        <v>6.5627870771024321</v>
      </c>
      <c r="D9" s="10">
        <f t="shared" si="0"/>
        <v>9.0083263023288076</v>
      </c>
      <c r="E9" s="10">
        <f t="shared" si="3"/>
        <v>15.571113379431241</v>
      </c>
      <c r="F9" s="10">
        <f t="shared" si="1"/>
        <v>647.27038140791444</v>
      </c>
      <c r="H9" s="9" t="s">
        <v>53</v>
      </c>
      <c r="I9" s="11">
        <f>-Premissas!B4+Premissas!G3-I7</f>
        <v>1454.8885270109251</v>
      </c>
    </row>
    <row r="10" spans="1:9" x14ac:dyDescent="0.2">
      <c r="A10">
        <v>7</v>
      </c>
      <c r="B10" s="10">
        <f t="shared" si="2"/>
        <v>647.27038140791444</v>
      </c>
      <c r="C10" s="10">
        <f>B10*Premissas!$B$10</f>
        <v>6.4727038140791446</v>
      </c>
      <c r="D10" s="10">
        <f t="shared" si="0"/>
        <v>9.098409565352096</v>
      </c>
      <c r="E10" s="10">
        <f t="shared" si="3"/>
        <v>15.571113379431241</v>
      </c>
      <c r="F10" s="10">
        <f t="shared" si="1"/>
        <v>638.17197184256236</v>
      </c>
    </row>
    <row r="11" spans="1:9" x14ac:dyDescent="0.2">
      <c r="A11">
        <v>8</v>
      </c>
      <c r="B11" s="10">
        <f t="shared" si="2"/>
        <v>638.17197184256236</v>
      </c>
      <c r="C11" s="10">
        <f>B11*Premissas!$B$10</f>
        <v>6.3817197184256234</v>
      </c>
      <c r="D11" s="10">
        <f t="shared" si="0"/>
        <v>9.1893936610056173</v>
      </c>
      <c r="E11" s="10">
        <f t="shared" si="3"/>
        <v>15.571113379431241</v>
      </c>
      <c r="F11" s="10">
        <f t="shared" si="1"/>
        <v>628.98257818155673</v>
      </c>
    </row>
    <row r="12" spans="1:9" x14ac:dyDescent="0.2">
      <c r="A12">
        <v>9</v>
      </c>
      <c r="B12" s="10">
        <f t="shared" si="2"/>
        <v>628.98257818155673</v>
      </c>
      <c r="C12" s="10">
        <f>B12*Premissas!$B$10</f>
        <v>6.2898257818155674</v>
      </c>
      <c r="D12" s="10">
        <f t="shared" si="0"/>
        <v>9.2812875976156732</v>
      </c>
      <c r="E12" s="10">
        <f t="shared" si="3"/>
        <v>15.571113379431241</v>
      </c>
      <c r="F12" s="10">
        <f t="shared" si="1"/>
        <v>619.70129058394105</v>
      </c>
    </row>
    <row r="13" spans="1:9" x14ac:dyDescent="0.2">
      <c r="A13">
        <v>10</v>
      </c>
      <c r="B13" s="10">
        <f t="shared" si="2"/>
        <v>619.70129058394105</v>
      </c>
      <c r="C13" s="10">
        <f>B13*Premissas!$B$10</f>
        <v>6.1970129058394106</v>
      </c>
      <c r="D13" s="10">
        <f t="shared" si="0"/>
        <v>9.374100473591831</v>
      </c>
      <c r="E13" s="10">
        <f t="shared" si="3"/>
        <v>15.571113379431241</v>
      </c>
      <c r="F13" s="10">
        <f t="shared" si="1"/>
        <v>610.32719011034919</v>
      </c>
    </row>
    <row r="14" spans="1:9" x14ac:dyDescent="0.2">
      <c r="A14">
        <v>11</v>
      </c>
      <c r="B14" s="10">
        <f t="shared" si="2"/>
        <v>610.32719011034919</v>
      </c>
      <c r="C14" s="10">
        <f>B14*Premissas!$B$10</f>
        <v>6.1032719011034917</v>
      </c>
      <c r="D14" s="10">
        <f t="shared" si="0"/>
        <v>9.4678414783277489</v>
      </c>
      <c r="E14" s="10">
        <f t="shared" si="3"/>
        <v>15.571113379431241</v>
      </c>
      <c r="F14" s="10">
        <f t="shared" si="1"/>
        <v>600.85934863202147</v>
      </c>
    </row>
    <row r="15" spans="1:9" x14ac:dyDescent="0.2">
      <c r="A15">
        <v>12</v>
      </c>
      <c r="B15" s="10">
        <f t="shared" si="2"/>
        <v>600.85934863202147</v>
      </c>
      <c r="C15" s="10">
        <f>B15*Premissas!$B$10</f>
        <v>6.0085934863202146</v>
      </c>
      <c r="D15" s="10">
        <f t="shared" si="0"/>
        <v>9.5625198931110269</v>
      </c>
      <c r="E15" s="10">
        <f t="shared" si="3"/>
        <v>15.571113379431241</v>
      </c>
      <c r="F15" s="10">
        <f t="shared" si="1"/>
        <v>591.29682873891045</v>
      </c>
    </row>
    <row r="16" spans="1:9" x14ac:dyDescent="0.2">
      <c r="A16">
        <v>13</v>
      </c>
      <c r="B16" s="10">
        <f t="shared" si="2"/>
        <v>591.29682873891045</v>
      </c>
      <c r="C16" s="10">
        <f>B16*Premissas!$B$10</f>
        <v>5.9129682873891047</v>
      </c>
      <c r="D16" s="10">
        <f t="shared" si="0"/>
        <v>9.6581450920421368</v>
      </c>
      <c r="E16" s="10">
        <f t="shared" si="3"/>
        <v>15.571113379431241</v>
      </c>
      <c r="F16" s="10">
        <f t="shared" si="1"/>
        <v>581.63868364686834</v>
      </c>
    </row>
    <row r="17" spans="1:6" x14ac:dyDescent="0.2">
      <c r="A17">
        <v>14</v>
      </c>
      <c r="B17" s="10">
        <f t="shared" si="2"/>
        <v>581.63868364686834</v>
      </c>
      <c r="C17" s="10">
        <f>B17*Premissas!$B$10</f>
        <v>5.8163868364686833</v>
      </c>
      <c r="D17" s="10">
        <f t="shared" si="0"/>
        <v>9.7547265429625583</v>
      </c>
      <c r="E17" s="10">
        <f t="shared" si="3"/>
        <v>15.571113379431241</v>
      </c>
      <c r="F17" s="10">
        <f t="shared" si="1"/>
        <v>571.8839571039058</v>
      </c>
    </row>
    <row r="18" spans="1:6" x14ac:dyDescent="0.2">
      <c r="A18">
        <v>15</v>
      </c>
      <c r="B18" s="10">
        <f t="shared" si="2"/>
        <v>571.8839571039058</v>
      </c>
      <c r="C18" s="10">
        <f>B18*Premissas!$B$10</f>
        <v>5.7188395710390578</v>
      </c>
      <c r="D18" s="10">
        <f t="shared" si="0"/>
        <v>9.8522738083921837</v>
      </c>
      <c r="E18" s="10">
        <f t="shared" si="3"/>
        <v>15.571113379431241</v>
      </c>
      <c r="F18" s="10">
        <f t="shared" si="1"/>
        <v>562.03168329551363</v>
      </c>
    </row>
    <row r="19" spans="1:6" x14ac:dyDescent="0.2">
      <c r="A19">
        <v>16</v>
      </c>
      <c r="B19" s="10">
        <f t="shared" si="2"/>
        <v>562.03168329551363</v>
      </c>
      <c r="C19" s="10">
        <f>B19*Premissas!$B$10</f>
        <v>5.6203168329551367</v>
      </c>
      <c r="D19" s="10">
        <f t="shared" si="0"/>
        <v>9.9507965464761039</v>
      </c>
      <c r="E19" s="10">
        <f t="shared" si="3"/>
        <v>15.571113379431241</v>
      </c>
      <c r="F19" s="10">
        <f t="shared" si="1"/>
        <v>552.08088674903752</v>
      </c>
    </row>
    <row r="20" spans="1:6" x14ac:dyDescent="0.2">
      <c r="A20">
        <v>17</v>
      </c>
      <c r="B20" s="10">
        <f t="shared" si="2"/>
        <v>552.08088674903752</v>
      </c>
      <c r="C20" s="10">
        <f>B20*Premissas!$B$10</f>
        <v>5.5208088674903752</v>
      </c>
      <c r="D20" s="10">
        <f t="shared" si="0"/>
        <v>10.050304511940865</v>
      </c>
      <c r="E20" s="10">
        <f t="shared" si="3"/>
        <v>15.571113379431241</v>
      </c>
      <c r="F20" s="10">
        <f t="shared" si="1"/>
        <v>542.03058223709661</v>
      </c>
    </row>
    <row r="21" spans="1:6" x14ac:dyDescent="0.2">
      <c r="A21">
        <v>18</v>
      </c>
      <c r="B21" s="10">
        <f t="shared" si="2"/>
        <v>542.03058223709661</v>
      </c>
      <c r="C21" s="10">
        <f>B21*Premissas!$B$10</f>
        <v>5.4203058223709659</v>
      </c>
      <c r="D21" s="10">
        <f t="shared" si="0"/>
        <v>10.150807557060276</v>
      </c>
      <c r="E21" s="10">
        <f t="shared" si="3"/>
        <v>15.571113379431241</v>
      </c>
      <c r="F21" s="10">
        <f t="shared" si="1"/>
        <v>531.87977468003635</v>
      </c>
    </row>
    <row r="22" spans="1:6" x14ac:dyDescent="0.2">
      <c r="A22">
        <v>19</v>
      </c>
      <c r="B22" s="10">
        <f t="shared" si="2"/>
        <v>531.87977468003635</v>
      </c>
      <c r="C22" s="10">
        <f>B22*Premissas!$B$10</f>
        <v>5.3187977468003638</v>
      </c>
      <c r="D22" s="10">
        <f t="shared" si="0"/>
        <v>10.252315632630877</v>
      </c>
      <c r="E22" s="10">
        <f t="shared" si="3"/>
        <v>15.571113379431241</v>
      </c>
      <c r="F22" s="10">
        <f t="shared" si="1"/>
        <v>521.62745904740552</v>
      </c>
    </row>
    <row r="23" spans="1:6" x14ac:dyDescent="0.2">
      <c r="A23">
        <v>20</v>
      </c>
      <c r="B23" s="10">
        <f t="shared" si="2"/>
        <v>521.62745904740552</v>
      </c>
      <c r="C23" s="10">
        <f>B23*Premissas!$B$10</f>
        <v>5.2162745904740557</v>
      </c>
      <c r="D23" s="10">
        <f t="shared" si="0"/>
        <v>10.354838788957185</v>
      </c>
      <c r="E23" s="10">
        <f t="shared" si="3"/>
        <v>15.571113379431241</v>
      </c>
      <c r="F23" s="10">
        <f t="shared" si="1"/>
        <v>511.27262025844834</v>
      </c>
    </row>
    <row r="24" spans="1:6" x14ac:dyDescent="0.2">
      <c r="A24">
        <v>21</v>
      </c>
      <c r="B24" s="10">
        <f t="shared" si="2"/>
        <v>511.27262025844834</v>
      </c>
      <c r="C24" s="10">
        <f>B24*Premissas!$B$10</f>
        <v>5.1127262025844837</v>
      </c>
      <c r="D24" s="10">
        <f t="shared" si="0"/>
        <v>10.458387176846756</v>
      </c>
      <c r="E24" s="10">
        <f t="shared" si="3"/>
        <v>15.571113379431241</v>
      </c>
      <c r="F24" s="10">
        <f t="shared" si="1"/>
        <v>500.81423308160157</v>
      </c>
    </row>
    <row r="25" spans="1:6" x14ac:dyDescent="0.2">
      <c r="A25">
        <v>22</v>
      </c>
      <c r="B25" s="10">
        <f t="shared" si="2"/>
        <v>500.81423308160157</v>
      </c>
      <c r="C25" s="10">
        <f>B25*Premissas!$B$10</f>
        <v>5.0081423308160158</v>
      </c>
      <c r="D25" s="10">
        <f t="shared" si="0"/>
        <v>10.562971048615225</v>
      </c>
      <c r="E25" s="10">
        <f t="shared" si="3"/>
        <v>15.571113379431241</v>
      </c>
      <c r="F25" s="10">
        <f t="shared" si="1"/>
        <v>490.25126203298635</v>
      </c>
    </row>
    <row r="26" spans="1:6" x14ac:dyDescent="0.2">
      <c r="A26">
        <v>23</v>
      </c>
      <c r="B26" s="10">
        <f t="shared" si="2"/>
        <v>490.25126203298635</v>
      </c>
      <c r="C26" s="10">
        <f>B26*Premissas!$B$10</f>
        <v>4.9025126203298637</v>
      </c>
      <c r="D26" s="10">
        <f t="shared" si="0"/>
        <v>10.668600759101377</v>
      </c>
      <c r="E26" s="10">
        <f t="shared" si="3"/>
        <v>15.571113379431241</v>
      </c>
      <c r="F26" s="10">
        <f t="shared" si="1"/>
        <v>479.58266127388498</v>
      </c>
    </row>
    <row r="27" spans="1:6" x14ac:dyDescent="0.2">
      <c r="A27">
        <v>24</v>
      </c>
      <c r="B27" s="10">
        <f t="shared" si="2"/>
        <v>479.58266127388498</v>
      </c>
      <c r="C27" s="10">
        <f>B27*Premissas!$B$10</f>
        <v>4.7958266127388498</v>
      </c>
      <c r="D27" s="10">
        <f t="shared" si="0"/>
        <v>10.775286766692391</v>
      </c>
      <c r="E27" s="10">
        <f t="shared" si="3"/>
        <v>15.571113379431241</v>
      </c>
      <c r="F27" s="10">
        <f t="shared" si="1"/>
        <v>468.80737450719261</v>
      </c>
    </row>
    <row r="28" spans="1:6" x14ac:dyDescent="0.2">
      <c r="A28">
        <v>25</v>
      </c>
      <c r="B28" s="10">
        <f t="shared" si="2"/>
        <v>468.80737450719261</v>
      </c>
      <c r="C28" s="10">
        <f>B28*Premissas!$B$10</f>
        <v>4.6880737450719261</v>
      </c>
      <c r="D28" s="10">
        <f t="shared" si="0"/>
        <v>10.883039634359314</v>
      </c>
      <c r="E28" s="10">
        <f t="shared" si="3"/>
        <v>15.571113379431241</v>
      </c>
      <c r="F28" s="10">
        <f t="shared" si="1"/>
        <v>457.9243348728333</v>
      </c>
    </row>
    <row r="29" spans="1:6" x14ac:dyDescent="0.2">
      <c r="A29">
        <v>26</v>
      </c>
      <c r="B29" s="10">
        <f t="shared" si="2"/>
        <v>457.9243348728333</v>
      </c>
      <c r="C29" s="10">
        <f>B29*Premissas!$B$10</f>
        <v>4.5792433487283333</v>
      </c>
      <c r="D29" s="10">
        <f t="shared" si="0"/>
        <v>10.991870030702907</v>
      </c>
      <c r="E29" s="10">
        <f t="shared" si="3"/>
        <v>15.571113379431241</v>
      </c>
      <c r="F29" s="10">
        <f t="shared" si="1"/>
        <v>446.9324648421304</v>
      </c>
    </row>
    <row r="30" spans="1:6" x14ac:dyDescent="0.2">
      <c r="A30">
        <v>27</v>
      </c>
      <c r="B30" s="10">
        <f t="shared" si="2"/>
        <v>446.9324648421304</v>
      </c>
      <c r="C30" s="10">
        <f>B30*Premissas!$B$10</f>
        <v>4.4693246484213045</v>
      </c>
      <c r="D30" s="10">
        <f t="shared" si="0"/>
        <v>11.101788731009936</v>
      </c>
      <c r="E30" s="10">
        <f t="shared" si="3"/>
        <v>15.571113379431241</v>
      </c>
      <c r="F30" s="10">
        <f t="shared" si="1"/>
        <v>435.83067611112045</v>
      </c>
    </row>
    <row r="31" spans="1:6" x14ac:dyDescent="0.2">
      <c r="A31">
        <v>28</v>
      </c>
      <c r="B31" s="10">
        <f t="shared" si="2"/>
        <v>435.83067611112045</v>
      </c>
      <c r="C31" s="10">
        <f>B31*Premissas!$B$10</f>
        <v>4.358306761111205</v>
      </c>
      <c r="D31" s="10">
        <f t="shared" si="0"/>
        <v>11.212806618320036</v>
      </c>
      <c r="E31" s="10">
        <f t="shared" si="3"/>
        <v>15.571113379431241</v>
      </c>
      <c r="F31" s="10">
        <f t="shared" si="1"/>
        <v>424.61786949280042</v>
      </c>
    </row>
    <row r="32" spans="1:6" x14ac:dyDescent="0.2">
      <c r="A32">
        <v>29</v>
      </c>
      <c r="B32" s="10">
        <f t="shared" si="2"/>
        <v>424.61786949280042</v>
      </c>
      <c r="C32" s="10">
        <f>B32*Premissas!$B$10</f>
        <v>4.2461786949280045</v>
      </c>
      <c r="D32" s="10">
        <f t="shared" si="0"/>
        <v>11.324934684503237</v>
      </c>
      <c r="E32" s="10">
        <f t="shared" si="3"/>
        <v>15.571113379431241</v>
      </c>
      <c r="F32" s="10">
        <f t="shared" si="1"/>
        <v>413.29293480829716</v>
      </c>
    </row>
    <row r="33" spans="1:6" x14ac:dyDescent="0.2">
      <c r="A33">
        <v>30</v>
      </c>
      <c r="B33" s="10">
        <f t="shared" si="2"/>
        <v>413.29293480829716</v>
      </c>
      <c r="C33" s="10">
        <f>B33*Premissas!$B$10</f>
        <v>4.1329293480829721</v>
      </c>
      <c r="D33" s="10">
        <f t="shared" si="0"/>
        <v>11.438184031348268</v>
      </c>
      <c r="E33" s="10">
        <f t="shared" si="3"/>
        <v>15.571113379431241</v>
      </c>
      <c r="F33" s="10">
        <f t="shared" si="1"/>
        <v>401.85475077694889</v>
      </c>
    </row>
    <row r="34" spans="1:6" x14ac:dyDescent="0.2">
      <c r="A34">
        <v>31</v>
      </c>
      <c r="B34" s="10">
        <f t="shared" si="2"/>
        <v>401.85475077694889</v>
      </c>
      <c r="C34" s="10">
        <f>B34*Premissas!$B$10</f>
        <v>4.0185475077694885</v>
      </c>
      <c r="D34" s="10">
        <f t="shared" si="0"/>
        <v>11.552565871661752</v>
      </c>
      <c r="E34" s="10">
        <f t="shared" si="3"/>
        <v>15.571113379431241</v>
      </c>
      <c r="F34" s="10">
        <f t="shared" si="1"/>
        <v>390.30218490528716</v>
      </c>
    </row>
    <row r="35" spans="1:6" x14ac:dyDescent="0.2">
      <c r="A35">
        <v>32</v>
      </c>
      <c r="B35" s="10">
        <f t="shared" si="2"/>
        <v>390.30218490528716</v>
      </c>
      <c r="C35" s="10">
        <f>B35*Premissas!$B$10</f>
        <v>3.9030218490528719</v>
      </c>
      <c r="D35" s="10">
        <f t="shared" si="0"/>
        <v>11.668091530378369</v>
      </c>
      <c r="E35" s="10">
        <f t="shared" si="3"/>
        <v>15.571113379431241</v>
      </c>
      <c r="F35" s="10">
        <f t="shared" si="1"/>
        <v>378.63409337490879</v>
      </c>
    </row>
    <row r="36" spans="1:6" x14ac:dyDescent="0.2">
      <c r="A36">
        <v>33</v>
      </c>
      <c r="B36" s="10">
        <f t="shared" si="2"/>
        <v>378.63409337490879</v>
      </c>
      <c r="C36" s="10">
        <f>B36*Premissas!$B$10</f>
        <v>3.7863409337490879</v>
      </c>
      <c r="D36" s="10">
        <f t="shared" ref="D36:D67" si="4">E36-C36</f>
        <v>11.784772445682153</v>
      </c>
      <c r="E36" s="10">
        <f t="shared" si="3"/>
        <v>15.571113379431241</v>
      </c>
      <c r="F36" s="10">
        <f t="shared" ref="F36:F63" si="5">B36-D36</f>
        <v>366.84932092922662</v>
      </c>
    </row>
    <row r="37" spans="1:6" x14ac:dyDescent="0.2">
      <c r="A37">
        <v>34</v>
      </c>
      <c r="B37" s="10">
        <f t="shared" ref="B37:B63" si="6">F36</f>
        <v>366.84932092922662</v>
      </c>
      <c r="C37" s="10">
        <f>B37*Premissas!$B$10</f>
        <v>3.6684932092922664</v>
      </c>
      <c r="D37" s="10">
        <f t="shared" si="4"/>
        <v>11.902620170138974</v>
      </c>
      <c r="E37" s="10">
        <f t="shared" ref="E37:E63" si="7">$E$4</f>
        <v>15.571113379431241</v>
      </c>
      <c r="F37" s="10">
        <f t="shared" si="5"/>
        <v>354.94670075908766</v>
      </c>
    </row>
    <row r="38" spans="1:6" x14ac:dyDescent="0.2">
      <c r="A38">
        <v>35</v>
      </c>
      <c r="B38" s="10">
        <f t="shared" si="6"/>
        <v>354.94670075908766</v>
      </c>
      <c r="C38" s="10">
        <f>B38*Premissas!$B$10</f>
        <v>3.5494670075908767</v>
      </c>
      <c r="D38" s="10">
        <f t="shared" si="4"/>
        <v>12.021646371840363</v>
      </c>
      <c r="E38" s="10">
        <f t="shared" si="7"/>
        <v>15.571113379431241</v>
      </c>
      <c r="F38" s="10">
        <f t="shared" si="5"/>
        <v>342.92505438724731</v>
      </c>
    </row>
    <row r="39" spans="1:6" x14ac:dyDescent="0.2">
      <c r="A39">
        <v>36</v>
      </c>
      <c r="B39" s="10">
        <f t="shared" si="6"/>
        <v>342.92505438724731</v>
      </c>
      <c r="C39" s="10">
        <f>B39*Premissas!$B$10</f>
        <v>3.4292505438724734</v>
      </c>
      <c r="D39" s="10">
        <f t="shared" si="4"/>
        <v>12.141862835558767</v>
      </c>
      <c r="E39" s="10">
        <f t="shared" si="7"/>
        <v>15.571113379431241</v>
      </c>
      <c r="F39" s="10">
        <f t="shared" si="5"/>
        <v>330.78319155168856</v>
      </c>
    </row>
    <row r="40" spans="1:6" x14ac:dyDescent="0.2">
      <c r="A40">
        <v>37</v>
      </c>
      <c r="B40" s="10">
        <f t="shared" si="6"/>
        <v>330.78319155168856</v>
      </c>
      <c r="C40" s="10">
        <f>B40*Premissas!$B$10</f>
        <v>3.3078319155168856</v>
      </c>
      <c r="D40" s="10">
        <f t="shared" si="4"/>
        <v>12.263281463914355</v>
      </c>
      <c r="E40" s="10">
        <f t="shared" si="7"/>
        <v>15.571113379431241</v>
      </c>
      <c r="F40" s="10">
        <f t="shared" si="5"/>
        <v>318.51991008777418</v>
      </c>
    </row>
    <row r="41" spans="1:6" x14ac:dyDescent="0.2">
      <c r="A41">
        <v>38</v>
      </c>
      <c r="B41" s="10">
        <f t="shared" si="6"/>
        <v>318.51991008777418</v>
      </c>
      <c r="C41" s="10">
        <f>B41*Premissas!$B$10</f>
        <v>3.1851991008777421</v>
      </c>
      <c r="D41" s="10">
        <f t="shared" si="4"/>
        <v>12.385914278553498</v>
      </c>
      <c r="E41" s="10">
        <f t="shared" si="7"/>
        <v>15.571113379431241</v>
      </c>
      <c r="F41" s="10">
        <f t="shared" si="5"/>
        <v>306.13399580922066</v>
      </c>
    </row>
    <row r="42" spans="1:6" x14ac:dyDescent="0.2">
      <c r="A42">
        <v>39</v>
      </c>
      <c r="B42" s="10">
        <f t="shared" si="6"/>
        <v>306.13399580922066</v>
      </c>
      <c r="C42" s="10">
        <f>B42*Premissas!$B$10</f>
        <v>3.0613399580922067</v>
      </c>
      <c r="D42" s="10">
        <f t="shared" si="4"/>
        <v>12.509773421339034</v>
      </c>
      <c r="E42" s="10">
        <f t="shared" si="7"/>
        <v>15.571113379431241</v>
      </c>
      <c r="F42" s="10">
        <f t="shared" si="5"/>
        <v>293.62422238788162</v>
      </c>
    </row>
    <row r="43" spans="1:6" x14ac:dyDescent="0.2">
      <c r="A43">
        <v>40</v>
      </c>
      <c r="B43" s="10">
        <f t="shared" si="6"/>
        <v>293.62422238788162</v>
      </c>
      <c r="C43" s="10">
        <f>B43*Premissas!$B$10</f>
        <v>2.9362422238788164</v>
      </c>
      <c r="D43" s="10">
        <f t="shared" si="4"/>
        <v>12.634871155552425</v>
      </c>
      <c r="E43" s="10">
        <f t="shared" si="7"/>
        <v>15.571113379431241</v>
      </c>
      <c r="F43" s="10">
        <f t="shared" si="5"/>
        <v>280.98935123232917</v>
      </c>
    </row>
    <row r="44" spans="1:6" x14ac:dyDescent="0.2">
      <c r="A44">
        <v>41</v>
      </c>
      <c r="B44" s="10">
        <f t="shared" si="6"/>
        <v>280.98935123232917</v>
      </c>
      <c r="C44" s="10">
        <f>B44*Premissas!$B$10</f>
        <v>2.8098935123232915</v>
      </c>
      <c r="D44" s="10">
        <f t="shared" si="4"/>
        <v>12.761219867107949</v>
      </c>
      <c r="E44" s="10">
        <f t="shared" si="7"/>
        <v>15.571113379431241</v>
      </c>
      <c r="F44" s="10">
        <f t="shared" si="5"/>
        <v>268.2281313652212</v>
      </c>
    </row>
    <row r="45" spans="1:6" x14ac:dyDescent="0.2">
      <c r="A45">
        <v>42</v>
      </c>
      <c r="B45" s="10">
        <f t="shared" si="6"/>
        <v>268.2281313652212</v>
      </c>
      <c r="C45" s="10">
        <f>B45*Premissas!$B$10</f>
        <v>2.6822813136522119</v>
      </c>
      <c r="D45" s="10">
        <f t="shared" si="4"/>
        <v>12.888832065779029</v>
      </c>
      <c r="E45" s="10">
        <f t="shared" si="7"/>
        <v>15.571113379431241</v>
      </c>
      <c r="F45" s="10">
        <f t="shared" si="5"/>
        <v>255.33929929944216</v>
      </c>
    </row>
    <row r="46" spans="1:6" x14ac:dyDescent="0.2">
      <c r="A46">
        <v>43</v>
      </c>
      <c r="B46" s="10">
        <f t="shared" si="6"/>
        <v>255.33929929944216</v>
      </c>
      <c r="C46" s="10">
        <f>B46*Premissas!$B$10</f>
        <v>2.5533929929944215</v>
      </c>
      <c r="D46" s="10">
        <f t="shared" si="4"/>
        <v>13.017720386436819</v>
      </c>
      <c r="E46" s="10">
        <f t="shared" si="7"/>
        <v>15.571113379431241</v>
      </c>
      <c r="F46" s="10">
        <f t="shared" si="5"/>
        <v>242.32157891300534</v>
      </c>
    </row>
    <row r="47" spans="1:6" x14ac:dyDescent="0.2">
      <c r="A47">
        <v>44</v>
      </c>
      <c r="B47" s="10">
        <f t="shared" si="6"/>
        <v>242.32157891300534</v>
      </c>
      <c r="C47" s="10">
        <f>B47*Premissas!$B$10</f>
        <v>2.4232157891300536</v>
      </c>
      <c r="D47" s="10">
        <f t="shared" si="4"/>
        <v>13.147897590301188</v>
      </c>
      <c r="E47" s="10">
        <f t="shared" si="7"/>
        <v>15.571113379431241</v>
      </c>
      <c r="F47" s="10">
        <f t="shared" si="5"/>
        <v>229.17368132270414</v>
      </c>
    </row>
    <row r="48" spans="1:6" x14ac:dyDescent="0.2">
      <c r="A48">
        <v>45</v>
      </c>
      <c r="B48" s="10">
        <f t="shared" si="6"/>
        <v>229.17368132270414</v>
      </c>
      <c r="C48" s="10">
        <f>B48*Premissas!$B$10</f>
        <v>2.2917368132270415</v>
      </c>
      <c r="D48" s="10">
        <f t="shared" si="4"/>
        <v>13.279376566204199</v>
      </c>
      <c r="E48" s="10">
        <f t="shared" si="7"/>
        <v>15.571113379431241</v>
      </c>
      <c r="F48" s="10">
        <f t="shared" si="5"/>
        <v>215.89430475649993</v>
      </c>
    </row>
    <row r="49" spans="1:6" x14ac:dyDescent="0.2">
      <c r="A49">
        <v>46</v>
      </c>
      <c r="B49" s="10">
        <f t="shared" si="6"/>
        <v>215.89430475649993</v>
      </c>
      <c r="C49" s="10">
        <f>B49*Premissas!$B$10</f>
        <v>2.1589430475649993</v>
      </c>
      <c r="D49" s="10">
        <f t="shared" si="4"/>
        <v>13.412170331866241</v>
      </c>
      <c r="E49" s="10">
        <f t="shared" si="7"/>
        <v>15.571113379431241</v>
      </c>
      <c r="F49" s="10">
        <f t="shared" si="5"/>
        <v>202.4821344246337</v>
      </c>
    </row>
    <row r="50" spans="1:6" x14ac:dyDescent="0.2">
      <c r="A50">
        <v>47</v>
      </c>
      <c r="B50" s="10">
        <f t="shared" si="6"/>
        <v>202.4821344246337</v>
      </c>
      <c r="C50" s="10">
        <f>B50*Premissas!$B$10</f>
        <v>2.024821344246337</v>
      </c>
      <c r="D50" s="10">
        <f t="shared" si="4"/>
        <v>13.546292035184903</v>
      </c>
      <c r="E50" s="10">
        <f t="shared" si="7"/>
        <v>15.571113379431241</v>
      </c>
      <c r="F50" s="10">
        <f t="shared" si="5"/>
        <v>188.93584238944879</v>
      </c>
    </row>
    <row r="51" spans="1:6" x14ac:dyDescent="0.2">
      <c r="A51">
        <v>48</v>
      </c>
      <c r="B51" s="10">
        <f t="shared" si="6"/>
        <v>188.93584238944879</v>
      </c>
      <c r="C51" s="10">
        <f>B51*Premissas!$B$10</f>
        <v>1.889358423894488</v>
      </c>
      <c r="D51" s="10">
        <f t="shared" si="4"/>
        <v>13.681754955536753</v>
      </c>
      <c r="E51" s="10">
        <f t="shared" si="7"/>
        <v>15.571113379431241</v>
      </c>
      <c r="F51" s="10">
        <f t="shared" si="5"/>
        <v>175.25408743391205</v>
      </c>
    </row>
    <row r="52" spans="1:6" x14ac:dyDescent="0.2">
      <c r="A52">
        <v>49</v>
      </c>
      <c r="B52" s="10">
        <f t="shared" si="6"/>
        <v>175.25408743391205</v>
      </c>
      <c r="C52" s="10">
        <f>B52*Premissas!$B$10</f>
        <v>1.7525408743391204</v>
      </c>
      <c r="D52" s="10">
        <f t="shared" si="4"/>
        <v>13.818572505092121</v>
      </c>
      <c r="E52" s="10">
        <f t="shared" si="7"/>
        <v>15.571113379431241</v>
      </c>
      <c r="F52" s="10">
        <f t="shared" si="5"/>
        <v>161.43551492881994</v>
      </c>
    </row>
    <row r="53" spans="1:6" x14ac:dyDescent="0.2">
      <c r="A53">
        <v>50</v>
      </c>
      <c r="B53" s="10">
        <f t="shared" si="6"/>
        <v>161.43551492881994</v>
      </c>
      <c r="C53" s="10">
        <f>B53*Premissas!$B$10</f>
        <v>1.6143551492881993</v>
      </c>
      <c r="D53" s="10">
        <f t="shared" si="4"/>
        <v>13.956758230143041</v>
      </c>
      <c r="E53" s="10">
        <f t="shared" si="7"/>
        <v>15.571113379431241</v>
      </c>
      <c r="F53" s="10">
        <f t="shared" si="5"/>
        <v>147.4787566986769</v>
      </c>
    </row>
    <row r="54" spans="1:6" x14ac:dyDescent="0.2">
      <c r="A54">
        <v>51</v>
      </c>
      <c r="B54" s="10">
        <f t="shared" si="6"/>
        <v>147.4787566986769</v>
      </c>
      <c r="C54" s="10">
        <f>B54*Premissas!$B$10</f>
        <v>1.4747875669867692</v>
      </c>
      <c r="D54" s="10">
        <f t="shared" si="4"/>
        <v>14.096325812444471</v>
      </c>
      <c r="E54" s="10">
        <f t="shared" si="7"/>
        <v>15.571113379431241</v>
      </c>
      <c r="F54" s="10">
        <f t="shared" si="5"/>
        <v>133.38243088623244</v>
      </c>
    </row>
    <row r="55" spans="1:6" x14ac:dyDescent="0.2">
      <c r="A55">
        <v>52</v>
      </c>
      <c r="B55" s="10">
        <f t="shared" si="6"/>
        <v>133.38243088623244</v>
      </c>
      <c r="C55" s="10">
        <f>B55*Premissas!$B$10</f>
        <v>1.3338243088623245</v>
      </c>
      <c r="D55" s="10">
        <f t="shared" si="4"/>
        <v>14.237289070568917</v>
      </c>
      <c r="E55" s="10">
        <f t="shared" si="7"/>
        <v>15.571113379431241</v>
      </c>
      <c r="F55" s="10">
        <f t="shared" si="5"/>
        <v>119.14514181566352</v>
      </c>
    </row>
    <row r="56" spans="1:6" x14ac:dyDescent="0.2">
      <c r="A56">
        <v>53</v>
      </c>
      <c r="B56" s="10">
        <f t="shared" si="6"/>
        <v>119.14514181566352</v>
      </c>
      <c r="C56" s="10">
        <f>B56*Premissas!$B$10</f>
        <v>1.1914514181566351</v>
      </c>
      <c r="D56" s="10">
        <f t="shared" si="4"/>
        <v>14.379661961274605</v>
      </c>
      <c r="E56" s="10">
        <f t="shared" si="7"/>
        <v>15.571113379431241</v>
      </c>
      <c r="F56" s="10">
        <f t="shared" si="5"/>
        <v>104.76547985438891</v>
      </c>
    </row>
    <row r="57" spans="1:6" x14ac:dyDescent="0.2">
      <c r="A57">
        <v>54</v>
      </c>
      <c r="B57" s="10">
        <f t="shared" si="6"/>
        <v>104.76547985438891</v>
      </c>
      <c r="C57" s="10">
        <f>B57*Premissas!$B$10</f>
        <v>1.0476547985438891</v>
      </c>
      <c r="D57" s="10">
        <f t="shared" si="4"/>
        <v>14.523458580887352</v>
      </c>
      <c r="E57" s="10">
        <f t="shared" si="7"/>
        <v>15.571113379431241</v>
      </c>
      <c r="F57" s="10">
        <f t="shared" si="5"/>
        <v>90.242021273501564</v>
      </c>
    </row>
    <row r="58" spans="1:6" x14ac:dyDescent="0.2">
      <c r="A58">
        <v>55</v>
      </c>
      <c r="B58" s="10">
        <f t="shared" si="6"/>
        <v>90.242021273501564</v>
      </c>
      <c r="C58" s="10">
        <f>B58*Premissas!$B$10</f>
        <v>0.9024202127350156</v>
      </c>
      <c r="D58" s="10">
        <f t="shared" si="4"/>
        <v>14.668693166696226</v>
      </c>
      <c r="E58" s="10">
        <f t="shared" si="7"/>
        <v>15.571113379431241</v>
      </c>
      <c r="F58" s="10">
        <f t="shared" si="5"/>
        <v>75.573328106805334</v>
      </c>
    </row>
    <row r="59" spans="1:6" x14ac:dyDescent="0.2">
      <c r="A59">
        <v>56</v>
      </c>
      <c r="B59" s="10">
        <f t="shared" si="6"/>
        <v>75.573328106805334</v>
      </c>
      <c r="C59" s="10">
        <f>B59*Premissas!$B$10</f>
        <v>0.75573328106805338</v>
      </c>
      <c r="D59" s="10">
        <f t="shared" si="4"/>
        <v>14.815380098363187</v>
      </c>
      <c r="E59" s="10">
        <f t="shared" si="7"/>
        <v>15.571113379431241</v>
      </c>
      <c r="F59" s="10">
        <f t="shared" si="5"/>
        <v>60.757948008442149</v>
      </c>
    </row>
    <row r="60" spans="1:6" x14ac:dyDescent="0.2">
      <c r="A60">
        <v>57</v>
      </c>
      <c r="B60" s="10">
        <f t="shared" si="6"/>
        <v>60.757948008442149</v>
      </c>
      <c r="C60" s="10">
        <f>B60*Premissas!$B$10</f>
        <v>0.60757948008442153</v>
      </c>
      <c r="D60" s="10">
        <f t="shared" si="4"/>
        <v>14.963533899346819</v>
      </c>
      <c r="E60" s="10">
        <f t="shared" si="7"/>
        <v>15.571113379431241</v>
      </c>
      <c r="F60" s="10">
        <f t="shared" si="5"/>
        <v>45.794414109095328</v>
      </c>
    </row>
    <row r="61" spans="1:6" x14ac:dyDescent="0.2">
      <c r="A61">
        <v>58</v>
      </c>
      <c r="B61" s="10">
        <f t="shared" si="6"/>
        <v>45.794414109095328</v>
      </c>
      <c r="C61" s="10">
        <f>B61*Premissas!$B$10</f>
        <v>0.45794414109095327</v>
      </c>
      <c r="D61" s="10">
        <f t="shared" si="4"/>
        <v>15.113169238340287</v>
      </c>
      <c r="E61" s="10">
        <f t="shared" si="7"/>
        <v>15.571113379431241</v>
      </c>
      <c r="F61" s="10">
        <f t="shared" si="5"/>
        <v>30.681244870755041</v>
      </c>
    </row>
    <row r="62" spans="1:6" x14ac:dyDescent="0.2">
      <c r="A62">
        <v>59</v>
      </c>
      <c r="B62" s="10">
        <f t="shared" si="6"/>
        <v>30.681244870755041</v>
      </c>
      <c r="C62" s="10">
        <f>B62*Premissas!$B$10</f>
        <v>0.30681244870755042</v>
      </c>
      <c r="D62" s="10">
        <f t="shared" si="4"/>
        <v>15.264300930723691</v>
      </c>
      <c r="E62" s="10">
        <f t="shared" si="7"/>
        <v>15.571113379431241</v>
      </c>
      <c r="F62" s="10">
        <f t="shared" si="5"/>
        <v>15.41694394003135</v>
      </c>
    </row>
    <row r="63" spans="1:6" x14ac:dyDescent="0.2">
      <c r="A63">
        <v>60</v>
      </c>
      <c r="B63" s="10">
        <f t="shared" si="6"/>
        <v>15.41694394003135</v>
      </c>
      <c r="C63" s="10">
        <f>B63*Premissas!$B$10</f>
        <v>0.1541694394003135</v>
      </c>
      <c r="D63" s="10">
        <f t="shared" si="4"/>
        <v>15.416943940030928</v>
      </c>
      <c r="E63" s="10">
        <f t="shared" si="7"/>
        <v>15.571113379431241</v>
      </c>
      <c r="F63" s="10">
        <f t="shared" si="5"/>
        <v>4.2277292777725961E-13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baseColWidth="10" defaultColWidth="8.83203125" defaultRowHeight="15" x14ac:dyDescent="0.2"/>
  <cols>
    <col min="1" max="1" width="22" customWidth="1"/>
    <col min="2" max="5" width="20" customWidth="1"/>
  </cols>
  <sheetData>
    <row r="1" spans="1:5" ht="17" x14ac:dyDescent="0.2">
      <c r="A1" s="1" t="s">
        <v>54</v>
      </c>
    </row>
    <row r="3" spans="1:5" ht="32" x14ac:dyDescent="0.2">
      <c r="A3" s="2" t="s">
        <v>55</v>
      </c>
      <c r="B3" s="2" t="s">
        <v>56</v>
      </c>
      <c r="C3" s="2" t="s">
        <v>57</v>
      </c>
      <c r="D3" s="2" t="s">
        <v>58</v>
      </c>
      <c r="E3" s="2" t="s">
        <v>53</v>
      </c>
    </row>
    <row r="4" spans="1:5" x14ac:dyDescent="0.2">
      <c r="A4" s="15">
        <v>0.25</v>
      </c>
      <c r="B4" s="10">
        <f>Premissas!$B$5*(1+A4)^5</f>
        <v>2136.23046875</v>
      </c>
      <c r="C4" s="10">
        <f>B4/(1+Premissas!$B$7)^5</f>
        <v>858.50311404883621</v>
      </c>
      <c r="D4" s="10">
        <f>C4-Premissas!$B$5</f>
        <v>158.50311404883621</v>
      </c>
      <c r="E4" s="11">
        <f>Premissas!$G$4-D4</f>
        <v>1204.7299106425216</v>
      </c>
    </row>
    <row r="5" spans="1:5" x14ac:dyDescent="0.2">
      <c r="A5" s="12">
        <v>0.28000000000000003</v>
      </c>
      <c r="B5" s="10">
        <f>Premissas!$B$5*(1+A5)^5</f>
        <v>2405.1816857600002</v>
      </c>
      <c r="C5" s="10">
        <f>B5/(1+Premissas!$B$7)^5</f>
        <v>966.58857613168732</v>
      </c>
      <c r="D5" s="10">
        <f>C5-Premissas!$B$5</f>
        <v>266.58857613168732</v>
      </c>
      <c r="E5" s="10">
        <f>Premissas!$G$4-D5</f>
        <v>1096.6444485596708</v>
      </c>
    </row>
    <row r="6" spans="1:5" x14ac:dyDescent="0.2">
      <c r="A6" s="12">
        <v>0.3</v>
      </c>
      <c r="B6" s="10">
        <f>Premissas!$B$5*(1+A6)^5</f>
        <v>2599.0510000000008</v>
      </c>
      <c r="C6" s="10">
        <f>B6/(1+Premissas!$B$7)^5</f>
        <v>1044.500305426955</v>
      </c>
      <c r="D6" s="10">
        <f>C6-Premissas!$B$5</f>
        <v>344.50030542695504</v>
      </c>
      <c r="E6" s="10">
        <f>Premissas!$G$4-D6</f>
        <v>1018.7327192644029</v>
      </c>
    </row>
    <row r="8" spans="1:5" x14ac:dyDescent="0.2">
      <c r="A8" s="9" t="s">
        <v>59</v>
      </c>
    </row>
    <row r="9" spans="1:5" ht="96" x14ac:dyDescent="0.2">
      <c r="A9" s="8" t="s">
        <v>60</v>
      </c>
    </row>
    <row r="10" spans="1:5" ht="96" x14ac:dyDescent="0.2">
      <c r="A10" s="8" t="s">
        <v>61</v>
      </c>
    </row>
    <row r="11" spans="1:5" ht="96" x14ac:dyDescent="0.2">
      <c r="A11" s="8" t="s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24" customWidth="1"/>
    <col min="2" max="3" width="42" customWidth="1"/>
  </cols>
  <sheetData>
    <row r="1" spans="1:3" ht="17" x14ac:dyDescent="0.2">
      <c r="A1" s="1" t="s">
        <v>63</v>
      </c>
    </row>
    <row r="3" spans="1:3" ht="16" x14ac:dyDescent="0.2">
      <c r="A3" s="2" t="s">
        <v>64</v>
      </c>
      <c r="B3" s="2" t="s">
        <v>2</v>
      </c>
      <c r="C3" s="2" t="s">
        <v>3</v>
      </c>
    </row>
    <row r="4" spans="1:3" ht="32" x14ac:dyDescent="0.2">
      <c r="A4" s="3" t="s">
        <v>65</v>
      </c>
      <c r="B4" s="4" t="s">
        <v>66</v>
      </c>
      <c r="C4" s="4" t="s">
        <v>67</v>
      </c>
    </row>
    <row r="5" spans="1:3" ht="32" x14ac:dyDescent="0.2">
      <c r="A5" s="3" t="s">
        <v>68</v>
      </c>
      <c r="B5" s="4" t="s">
        <v>69</v>
      </c>
      <c r="C5" s="4" t="s">
        <v>70</v>
      </c>
    </row>
    <row r="6" spans="1:3" ht="32" x14ac:dyDescent="0.2">
      <c r="A6" s="3" t="s">
        <v>71</v>
      </c>
      <c r="B6" s="4" t="s">
        <v>72</v>
      </c>
      <c r="C6" s="4" t="s">
        <v>73</v>
      </c>
    </row>
    <row r="9" spans="1:3" x14ac:dyDescent="0.2">
      <c r="A9" s="8"/>
    </row>
    <row r="10" spans="1:3" x14ac:dyDescent="0.2">
      <c r="A10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Premissas</vt:lpstr>
      <vt:lpstr>Price</vt:lpstr>
      <vt:lpstr>Anjo</vt:lpstr>
      <vt:lpstr>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Malucelli</cp:lastModifiedBy>
  <dcterms:created xsi:type="dcterms:W3CDTF">2026-06-01T13:29:55Z</dcterms:created>
  <dcterms:modified xsi:type="dcterms:W3CDTF">2026-06-01T13:57:38Z</dcterms:modified>
</cp:coreProperties>
</file>