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Q1_NPV" sheetId="2" state="visible" r:id="rId2"/>
    <sheet xmlns:r="http://schemas.openxmlformats.org/officeDocument/2006/relationships" name="Amort_Price" sheetId="3" state="visible" r:id="rId3"/>
    <sheet xmlns:r="http://schemas.openxmlformats.org/officeDocument/2006/relationships" name="Amort_SAC" sheetId="4" state="visible" r:id="rId4"/>
    <sheet xmlns:r="http://schemas.openxmlformats.org/officeDocument/2006/relationships" name="Q2_Custos" sheetId="5" state="visible" r:id="rId5"/>
    <sheet xmlns:r="http://schemas.openxmlformats.org/officeDocument/2006/relationships" name="Q3_Q4_Q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2" fillId="2" borderId="0" pivotButton="0" quotePrefix="0" xfId="0"/>
    <xf numFmtId="10" fontId="0" fillId="0" borderId="0" pivotButton="0" quotePrefix="0" xfId="0"/>
    <xf numFmtId="0" fontId="3" fillId="3" borderId="0" applyAlignment="1" pivotButton="0" quotePrefix="0" xfId="0">
      <alignment horizontal="center"/>
    </xf>
    <xf numFmtId="165" fontId="0" fillId="0" borderId="0" pivotButton="0" quotePrefix="0" xfId="0"/>
    <xf numFmtId="3" fontId="2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ELETRIC SOLUTIONS — PREMISSAS (R$ mil)</t>
        </is>
      </c>
    </row>
    <row r="2">
      <c r="D2" s="2" t="inlineStr">
        <is>
          <t>Ano</t>
        </is>
      </c>
      <c r="E2" s="2" t="inlineStr">
        <is>
          <t>FCF projeto</t>
        </is>
      </c>
    </row>
    <row r="3">
      <c r="A3" t="inlineStr">
        <is>
          <t>Investimento total</t>
        </is>
      </c>
      <c r="B3" s="3" t="n">
        <v>1000</v>
      </c>
      <c r="D3" t="n">
        <v>1</v>
      </c>
      <c r="E3" s="3" t="n">
        <v>-200</v>
      </c>
    </row>
    <row r="4">
      <c r="A4" t="inlineStr">
        <is>
          <t>Caixa próprio aportado</t>
        </is>
      </c>
      <c r="B4" s="3" t="n">
        <v>300</v>
      </c>
      <c r="D4" t="n">
        <v>2</v>
      </c>
      <c r="E4" s="3" t="n">
        <v>150</v>
      </c>
    </row>
    <row r="5">
      <c r="A5" t="inlineStr">
        <is>
          <t>Gap a financiar</t>
        </is>
      </c>
      <c r="B5" s="3" t="n">
        <v>700</v>
      </c>
      <c r="D5" t="n">
        <v>3</v>
      </c>
      <c r="E5" s="3" t="n">
        <v>400</v>
      </c>
    </row>
    <row r="6">
      <c r="A6" t="inlineStr">
        <is>
          <t>g (crescimento perpétuo)</t>
        </is>
      </c>
      <c r="B6" s="4" t="n">
        <v>0.05</v>
      </c>
      <c r="D6" t="n">
        <v>4</v>
      </c>
      <c r="E6" s="3" t="n">
        <v>550</v>
      </c>
    </row>
    <row r="7">
      <c r="A7" t="inlineStr">
        <is>
          <t>Taxa de desconto Ku  [INPUT]</t>
        </is>
      </c>
      <c r="B7" s="5" t="n">
        <v>0.2</v>
      </c>
      <c r="D7" t="n">
        <v>5</v>
      </c>
      <c r="E7" s="3" t="n">
        <v>600</v>
      </c>
    </row>
    <row r="8">
      <c r="A8" t="inlineStr">
        <is>
          <t>Selic</t>
        </is>
      </c>
      <c r="B8" s="4" t="n">
        <v>0.105</v>
      </c>
    </row>
    <row r="9">
      <c r="A9" t="inlineStr">
        <is>
          <t>Inflação base</t>
        </is>
      </c>
      <c r="B9" s="4" t="n">
        <v>0.045</v>
      </c>
    </row>
    <row r="10">
      <c r="A10" t="inlineStr">
        <is>
          <t>Taxa empréstimo a.a.</t>
        </is>
      </c>
      <c r="B10" s="4" t="n">
        <v>0.12</v>
      </c>
    </row>
    <row r="11">
      <c r="A11" t="inlineStr">
        <is>
          <t>Taxa empréstimo mensal</t>
        </is>
      </c>
      <c r="B11" s="6">
        <f>B10/12</f>
        <v/>
      </c>
    </row>
    <row r="12">
      <c r="A12" t="inlineStr">
        <is>
          <t>Cupom debênture a.a.</t>
        </is>
      </c>
      <c r="B12" s="4" t="n">
        <v>0.1</v>
      </c>
    </row>
    <row r="13">
      <c r="A13" t="inlineStr">
        <is>
          <t>Anjo: % equity</t>
        </is>
      </c>
      <c r="B13" s="4" t="n">
        <v>0.2</v>
      </c>
    </row>
    <row r="14">
      <c r="A14" t="inlineStr">
        <is>
          <t>Anjo: retorno alvo a.a.</t>
        </is>
      </c>
      <c r="B14" s="4" t="n">
        <v>0.25</v>
      </c>
    </row>
    <row r="15">
      <c r="A15" t="inlineStr">
        <is>
          <t>Taxa desconto mensal</t>
        </is>
      </c>
      <c r="B15" s="6">
        <f>(1+B7)^(1/12)-1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3" max="3"/>
    <col width="26" customWidth="1" min="6" max="6"/>
  </cols>
  <sheetData>
    <row r="1">
      <c r="A1" s="1" t="inlineStr">
        <is>
          <t>Q1 — O PROJETO CRIA VALOR?</t>
        </is>
      </c>
    </row>
    <row r="3">
      <c r="A3" s="7" t="inlineStr">
        <is>
          <t>Ano</t>
        </is>
      </c>
      <c r="B3" s="7" t="inlineStr">
        <is>
          <t>FCF</t>
        </is>
      </c>
      <c r="C3" s="7" t="inlineStr">
        <is>
          <t>Fator desconto</t>
        </is>
      </c>
      <c r="D3" s="7" t="inlineStr">
        <is>
          <t>VP</t>
        </is>
      </c>
      <c r="F3" t="inlineStr">
        <is>
          <t>TIR fluxos explícitos (sem TV)</t>
        </is>
      </c>
      <c r="G3" s="4">
        <f>IRR(G5:G10)</f>
        <v/>
      </c>
    </row>
    <row r="4">
      <c r="A4" t="n">
        <v>1</v>
      </c>
      <c r="B4" s="3">
        <f>Premissas!E3</f>
        <v/>
      </c>
      <c r="C4" s="8">
        <f>1/(1+Premissas!$B$7)^A4</f>
        <v/>
      </c>
      <c r="D4" s="3">
        <f>B4*C4</f>
        <v/>
      </c>
    </row>
    <row r="5">
      <c r="A5" t="n">
        <v>2</v>
      </c>
      <c r="B5" s="3">
        <f>Premissas!E4</f>
        <v/>
      </c>
      <c r="C5" s="8">
        <f>1/(1+Premissas!$B$7)^A5</f>
        <v/>
      </c>
      <c r="D5" s="3">
        <f>B5*C5</f>
        <v/>
      </c>
      <c r="F5" t="inlineStr">
        <is>
          <t>(série p/ TIR):</t>
        </is>
      </c>
      <c r="G5">
        <f>D12</f>
        <v/>
      </c>
    </row>
    <row r="6">
      <c r="A6" t="n">
        <v>3</v>
      </c>
      <c r="B6" s="3">
        <f>Premissas!E5</f>
        <v/>
      </c>
      <c r="C6" s="8">
        <f>1/(1+Premissas!$B$7)^A6</f>
        <v/>
      </c>
      <c r="D6" s="3">
        <f>B6*C6</f>
        <v/>
      </c>
      <c r="G6">
        <f>Premissas!E3</f>
        <v/>
      </c>
    </row>
    <row r="7">
      <c r="A7" t="n">
        <v>4</v>
      </c>
      <c r="B7" s="3">
        <f>Premissas!E6</f>
        <v/>
      </c>
      <c r="C7" s="8">
        <f>1/(1+Premissas!$B$7)^A7</f>
        <v/>
      </c>
      <c r="D7" s="3">
        <f>B7*C7</f>
        <v/>
      </c>
      <c r="G7">
        <f>Premissas!E4</f>
        <v/>
      </c>
    </row>
    <row r="8">
      <c r="A8" t="n">
        <v>5</v>
      </c>
      <c r="B8" s="3">
        <f>Premissas!E7</f>
        <v/>
      </c>
      <c r="C8" s="8">
        <f>1/(1+Premissas!$B$7)^A8</f>
        <v/>
      </c>
      <c r="D8" s="3">
        <f>B8*C8</f>
        <v/>
      </c>
      <c r="G8">
        <f>Premissas!E5</f>
        <v/>
      </c>
    </row>
    <row r="9">
      <c r="C9" s="2" t="inlineStr">
        <is>
          <t>Soma VP fluxos (anos 1-5)</t>
        </is>
      </c>
      <c r="D9" s="3">
        <f>SUM(D4:D8)</f>
        <v/>
      </c>
      <c r="G9">
        <f>Premissas!E6</f>
        <v/>
      </c>
    </row>
    <row r="10">
      <c r="C10" t="inlineStr">
        <is>
          <t>Valor terminal em t=5 (Gordon)</t>
        </is>
      </c>
      <c r="D10" s="3">
        <f>Premissas!E7*(1+Premissas!B6)/(Premissas!B7-Premissas!B6)</f>
        <v/>
      </c>
      <c r="G10">
        <f>Premissas!E7</f>
        <v/>
      </c>
    </row>
    <row r="11">
      <c r="C11" t="inlineStr">
        <is>
          <t>VP do valor terminal</t>
        </is>
      </c>
      <c r="D11" s="3">
        <f>D10/(1+Premissas!B7)^5</f>
        <v/>
      </c>
    </row>
    <row r="12">
      <c r="C12" t="inlineStr">
        <is>
          <t>Investimento (t=0)</t>
        </is>
      </c>
      <c r="D12" s="3">
        <f>-Premissas!B3</f>
        <v/>
      </c>
    </row>
    <row r="13">
      <c r="C13" s="2" t="inlineStr">
        <is>
          <t>NPV COM perpetuidade</t>
        </is>
      </c>
      <c r="D13" s="9">
        <f>D12+D9+D11</f>
        <v/>
      </c>
    </row>
    <row r="14">
      <c r="C14" t="inlineStr">
        <is>
          <t>NPV SEM perpetuidade</t>
        </is>
      </c>
      <c r="D14" s="3">
        <f>D12+D9</f>
        <v/>
      </c>
    </row>
    <row r="17">
      <c r="A17" s="2" t="inlineStr">
        <is>
          <t>SENSIBILIDADE DA TAXA</t>
        </is>
      </c>
    </row>
    <row r="18">
      <c r="A18" s="7" t="inlineStr">
        <is>
          <t>Taxa</t>
        </is>
      </c>
      <c r="B18" s="7" t="inlineStr">
        <is>
          <t>NPV c/ TV</t>
        </is>
      </c>
      <c r="C18" s="7" t="inlineStr">
        <is>
          <t>NPV s/ TV</t>
        </is>
      </c>
      <c r="D18" s="7" t="inlineStr">
        <is>
          <t>% no terminal</t>
        </is>
      </c>
    </row>
    <row r="19">
      <c r="A19" s="4" t="n">
        <v>0.15</v>
      </c>
      <c r="B19" s="3">
        <f>-Premissas!$B$3+(Premissas!$E$3/(1+$A19)^1+Premissas!$E$4/(1+$A19)^2+Premissas!$E$5/(1+$A19)^3+Premissas!$E$6/(1+$A19)^4+Premissas!$E$7/(1+$A19)^5)+((Premissas!$E$7*(1+Premissas!$B$6)/($A19-Premissas!$B$6))/(1+$A19)^5)</f>
        <v/>
      </c>
      <c r="C19" s="3">
        <f>-Premissas!$B$3+(Premissas!$E$3/(1+$A19)^1+Premissas!$E$4/(1+$A19)^2+Premissas!$E$5/(1+$A19)^3+Premissas!$E$6/(1+$A19)^4+Premissas!$E$7/(1+$A19)^5)</f>
        <v/>
      </c>
      <c r="D19" s="4">
        <f>((Premissas!$E$7*(1+Premissas!$B$6)/($A19-Premissas!$B$6))/(1+$A19)^5)/((Premissas!$E$3/(1+$A19)^1+Premissas!$E$4/(1+$A19)^2+Premissas!$E$5/(1+$A19)^3+Premissas!$E$6/(1+$A19)^4+Premissas!$E$7/(1+$A19)^5)+((Premissas!$E$7*(1+Premissas!$B$6)/($A19-Premissas!$B$6))/(1+$A19)^5))</f>
        <v/>
      </c>
    </row>
    <row r="20">
      <c r="A20" s="4" t="n">
        <v>0.18</v>
      </c>
      <c r="B20" s="3">
        <f>-Premissas!$B$3+(Premissas!$E$3/(1+$A20)^1+Premissas!$E$4/(1+$A20)^2+Premissas!$E$5/(1+$A20)^3+Premissas!$E$6/(1+$A20)^4+Premissas!$E$7/(1+$A20)^5)+((Premissas!$E$7*(1+Premissas!$B$6)/($A20-Premissas!$B$6))/(1+$A20)^5)</f>
        <v/>
      </c>
      <c r="C20" s="3">
        <f>-Premissas!$B$3+(Premissas!$E$3/(1+$A20)^1+Premissas!$E$4/(1+$A20)^2+Premissas!$E$5/(1+$A20)^3+Premissas!$E$6/(1+$A20)^4+Premissas!$E$7/(1+$A20)^5)</f>
        <v/>
      </c>
      <c r="D20" s="4">
        <f>((Premissas!$E$7*(1+Premissas!$B$6)/($A20-Premissas!$B$6))/(1+$A20)^5)/((Premissas!$E$3/(1+$A20)^1+Premissas!$E$4/(1+$A20)^2+Premissas!$E$5/(1+$A20)^3+Premissas!$E$6/(1+$A20)^4+Premissas!$E$7/(1+$A20)^5)+((Premissas!$E$7*(1+Premissas!$B$6)/($A20-Premissas!$B$6))/(1+$A20)^5))</f>
        <v/>
      </c>
    </row>
    <row r="21">
      <c r="A21" s="4" t="n">
        <v>0.2</v>
      </c>
      <c r="B21" s="3">
        <f>-Premissas!$B$3+(Premissas!$E$3/(1+$A21)^1+Premissas!$E$4/(1+$A21)^2+Premissas!$E$5/(1+$A21)^3+Premissas!$E$6/(1+$A21)^4+Premissas!$E$7/(1+$A21)^5)+((Premissas!$E$7*(1+Premissas!$B$6)/($A21-Premissas!$B$6))/(1+$A21)^5)</f>
        <v/>
      </c>
      <c r="C21" s="3">
        <f>-Premissas!$B$3+(Premissas!$E$3/(1+$A21)^1+Premissas!$E$4/(1+$A21)^2+Premissas!$E$5/(1+$A21)^3+Premissas!$E$6/(1+$A21)^4+Premissas!$E$7/(1+$A21)^5)</f>
        <v/>
      </c>
      <c r="D21" s="4">
        <f>((Premissas!$E$7*(1+Premissas!$B$6)/($A21-Premissas!$B$6))/(1+$A21)^5)/((Premissas!$E$3/(1+$A21)^1+Premissas!$E$4/(1+$A21)^2+Premissas!$E$5/(1+$A21)^3+Premissas!$E$6/(1+$A21)^4+Premissas!$E$7/(1+$A21)^5)+((Premissas!$E$7*(1+Premissas!$B$6)/($A21-Premissas!$B$6))/(1+$A21)^5))</f>
        <v/>
      </c>
    </row>
    <row r="22">
      <c r="A22" s="4" t="n">
        <v>0.21</v>
      </c>
      <c r="B22" s="3">
        <f>-Premissas!$B$3+(Premissas!$E$3/(1+$A22)^1+Premissas!$E$4/(1+$A22)^2+Premissas!$E$5/(1+$A22)^3+Premissas!$E$6/(1+$A22)^4+Premissas!$E$7/(1+$A22)^5)+((Premissas!$E$7*(1+Premissas!$B$6)/($A22-Premissas!$B$6))/(1+$A22)^5)</f>
        <v/>
      </c>
      <c r="C22" s="3">
        <f>-Premissas!$B$3+(Premissas!$E$3/(1+$A22)^1+Premissas!$E$4/(1+$A22)^2+Premissas!$E$5/(1+$A22)^3+Premissas!$E$6/(1+$A22)^4+Premissas!$E$7/(1+$A22)^5)</f>
        <v/>
      </c>
      <c r="D22" s="4">
        <f>((Premissas!$E$7*(1+Premissas!$B$6)/($A22-Premissas!$B$6))/(1+$A22)^5)/((Premissas!$E$3/(1+$A22)^1+Premissas!$E$4/(1+$A22)^2+Premissas!$E$5/(1+$A22)^3+Premissas!$E$6/(1+$A22)^4+Premissas!$E$7/(1+$A22)^5)+((Premissas!$E$7*(1+Premissas!$B$6)/($A22-Premissas!$B$6))/(1+$A22)^5))</f>
        <v/>
      </c>
    </row>
    <row r="23">
      <c r="A23" s="4" t="n">
        <v>0.25</v>
      </c>
      <c r="B23" s="3">
        <f>-Premissas!$B$3+(Premissas!$E$3/(1+$A23)^1+Premissas!$E$4/(1+$A23)^2+Premissas!$E$5/(1+$A23)^3+Premissas!$E$6/(1+$A23)^4+Premissas!$E$7/(1+$A23)^5)+((Premissas!$E$7*(1+Premissas!$B$6)/($A23-Premissas!$B$6))/(1+$A23)^5)</f>
        <v/>
      </c>
      <c r="C23" s="3">
        <f>-Premissas!$B$3+(Premissas!$E$3/(1+$A23)^1+Premissas!$E$4/(1+$A23)^2+Premissas!$E$5/(1+$A23)^3+Premissas!$E$6/(1+$A23)^4+Premissas!$E$7/(1+$A23)^5)</f>
        <v/>
      </c>
      <c r="D23" s="4">
        <f>((Premissas!$E$7*(1+Premissas!$B$6)/($A23-Premissas!$B$6))/(1+$A23)^5)/((Premissas!$E$3/(1+$A23)^1+Premissas!$E$4/(1+$A23)^2+Premissas!$E$5/(1+$A23)^3+Premissas!$E$6/(1+$A23)^4+Premissas!$E$7/(1+$A23)^5)+((Premissas!$E$7*(1+Premissas!$B$6)/($A23-Premissas!$B$6))/(1+$A23)^5))</f>
        <v/>
      </c>
    </row>
    <row r="26">
      <c r="A26" s="2" t="inlineStr">
        <is>
          <t>CENÁRIOS (NPV @ Ku, investimento fixo)</t>
        </is>
      </c>
    </row>
    <row r="27">
      <c r="A27" s="7" t="inlineStr">
        <is>
          <t>Cenário</t>
        </is>
      </c>
      <c r="B27" s="7" t="inlineStr">
        <is>
          <t>Fator</t>
        </is>
      </c>
      <c r="C27" s="7" t="inlineStr">
        <is>
          <t>NPV c/ TV</t>
        </is>
      </c>
      <c r="D27" s="7" t="inlineStr">
        <is>
          <t>NPV s/ TV</t>
        </is>
      </c>
    </row>
    <row r="28">
      <c r="A28" t="inlineStr">
        <is>
          <t>Cauda (contração)</t>
        </is>
      </c>
      <c r="B28" s="10" t="n">
        <v>0.5</v>
      </c>
      <c r="C28" s="3">
        <f>-Premissas!$B$3+($B28*(Premissas!$E$3/(1+Premissas!$B$7)^1+Premissas!$E$4/(1+Premissas!$B$7)^2+Premissas!$E$5/(1+Premissas!$B$7)^3+Premissas!$E$6/(1+Premissas!$B$7)^4+Premissas!$E$7/(1+Premissas!$B$7)^5))+(($B28*Premissas!$E$7*(1+Premissas!$B$6)/(Premissas!$B$7-Premissas!$B$6))/(1+Premissas!$B$7)^5)</f>
        <v/>
      </c>
      <c r="D28" s="3">
        <f>-Premissas!$B$3+($B28*(Premissas!$E$3/(1+Premissas!$B$7)^1+Premissas!$E$4/(1+Premissas!$B$7)^2+Premissas!$E$5/(1+Premissas!$B$7)^3+Premissas!$E$6/(1+Premissas!$B$7)^4+Premissas!$E$7/(1+Premissas!$B$7)^5))</f>
        <v/>
      </c>
    </row>
    <row r="29">
      <c r="A29" t="inlineStr">
        <is>
          <t>Base</t>
        </is>
      </c>
      <c r="B29" s="10" t="n">
        <v>1</v>
      </c>
      <c r="C29" s="3">
        <f>-Premissas!$B$3+($B29*(Premissas!$E$3/(1+Premissas!$B$7)^1+Premissas!$E$4/(1+Premissas!$B$7)^2+Premissas!$E$5/(1+Premissas!$B$7)^3+Premissas!$E$6/(1+Premissas!$B$7)^4+Premissas!$E$7/(1+Premissas!$B$7)^5))+(($B29*Premissas!$E$7*(1+Premissas!$B$6)/(Premissas!$B$7-Premissas!$B$6))/(1+Premissas!$B$7)^5)</f>
        <v/>
      </c>
      <c r="D29" s="3">
        <f>-Premissas!$B$3+($B29*(Premissas!$E$3/(1+Premissas!$B$7)^1+Premissas!$E$4/(1+Premissas!$B$7)^2+Premissas!$E$5/(1+Premissas!$B$7)^3+Premissas!$E$6/(1+Premissas!$B$7)^4+Premissas!$E$7/(1+Premissas!$B$7)^5))</f>
        <v/>
      </c>
    </row>
    <row r="30">
      <c r="A30" t="inlineStr">
        <is>
          <t>Expansão</t>
        </is>
      </c>
      <c r="B30" s="10" t="n">
        <v>1.5</v>
      </c>
      <c r="C30" s="3">
        <f>-Premissas!$B$3+($B30*(Premissas!$E$3/(1+Premissas!$B$7)^1+Premissas!$E$4/(1+Premissas!$B$7)^2+Premissas!$E$5/(1+Premissas!$B$7)^3+Premissas!$E$6/(1+Premissas!$B$7)^4+Premissas!$E$7/(1+Premissas!$B$7)^5))+(($B30*Premissas!$E$7*(1+Premissas!$B$6)/(Premissas!$B$7-Premissas!$B$6))/(1+Premissas!$B$7)^5)</f>
        <v/>
      </c>
      <c r="D30" s="3">
        <f>-Premissas!$B$3+($B30*(Premissas!$E$3/(1+Premissas!$B$7)^1+Premissas!$E$4/(1+Premissas!$B$7)^2+Premissas!$E$5/(1+Premissas!$B$7)^3+Premissas!$E$6/(1+Premissas!$B$7)^4+Premissas!$E$7/(1+Premissas!$B$7)^5))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20" customWidth="1" min="8" max="8"/>
    <col width="12" customWidth="1" min="9" max="9"/>
  </cols>
  <sheetData>
    <row r="1">
      <c r="A1" s="1" t="inlineStr">
        <is>
          <t>TABELA PRICE (700k, 1%/mês, 60 meses)</t>
        </is>
      </c>
    </row>
    <row r="3">
      <c r="A3" s="7" t="inlineStr">
        <is>
          <t>Mês</t>
        </is>
      </c>
      <c r="B3" s="7" t="inlineStr">
        <is>
          <t>Saldo inicial</t>
        </is>
      </c>
      <c r="C3" s="7" t="inlineStr">
        <is>
          <t>Juros</t>
        </is>
      </c>
      <c r="D3" s="7" t="inlineStr">
        <is>
          <t>Amortização</t>
        </is>
      </c>
      <c r="E3" s="7" t="inlineStr">
        <is>
          <t>Parcela</t>
        </is>
      </c>
      <c r="F3" s="7" t="inlineStr">
        <is>
          <t>Saldo final</t>
        </is>
      </c>
      <c r="H3" t="inlineStr">
        <is>
          <t>Parcela fixa</t>
        </is>
      </c>
      <c r="I3" s="3">
        <f>$E$4</f>
        <v/>
      </c>
    </row>
    <row r="4">
      <c r="A4" t="n">
        <v>1</v>
      </c>
      <c r="B4" s="3">
        <f>Premissas!$B$5</f>
        <v/>
      </c>
      <c r="C4" s="3">
        <f>B4*Premissas!$B$11</f>
        <v/>
      </c>
      <c r="D4" s="3">
        <f>E4-C4</f>
        <v/>
      </c>
      <c r="E4" s="3">
        <f>PMT(Premissas!$B$11,60,-Premissas!$B$5)</f>
        <v/>
      </c>
      <c r="F4" s="3">
        <f>B4-D4</f>
        <v/>
      </c>
      <c r="H4" t="inlineStr">
        <is>
          <t>Ano 1 (meses 1-12)</t>
        </is>
      </c>
      <c r="I4" s="3">
        <f>SUM(E4:E15)</f>
        <v/>
      </c>
    </row>
    <row r="5">
      <c r="A5" t="n">
        <v>2</v>
      </c>
      <c r="B5" s="3">
        <f>F4</f>
        <v/>
      </c>
      <c r="C5" s="3">
        <f>B5*Premissas!$B$11</f>
        <v/>
      </c>
      <c r="D5" s="3">
        <f>E5-C5</f>
        <v/>
      </c>
      <c r="E5" s="3">
        <f>$E$4</f>
        <v/>
      </c>
      <c r="F5" s="3">
        <f>B5-D5</f>
        <v/>
      </c>
      <c r="H5" t="inlineStr">
        <is>
          <t>Total pago</t>
        </is>
      </c>
      <c r="I5" s="3">
        <f>SUM(E4:E63)</f>
        <v/>
      </c>
    </row>
    <row r="6">
      <c r="A6" t="n">
        <v>3</v>
      </c>
      <c r="B6" s="3">
        <f>F5</f>
        <v/>
      </c>
      <c r="C6" s="3">
        <f>B6*Premissas!$B$11</f>
        <v/>
      </c>
      <c r="D6" s="3">
        <f>E6-C6</f>
        <v/>
      </c>
      <c r="E6" s="3">
        <f>$E$4</f>
        <v/>
      </c>
      <c r="F6" s="3">
        <f>B6-D6</f>
        <v/>
      </c>
      <c r="H6" t="inlineStr">
        <is>
          <t>Juros totais</t>
        </is>
      </c>
      <c r="I6" s="3">
        <f>I5-Premissas!B5</f>
        <v/>
      </c>
    </row>
    <row r="7">
      <c r="A7" t="n">
        <v>4</v>
      </c>
      <c r="B7" s="3">
        <f>F6</f>
        <v/>
      </c>
      <c r="C7" s="3">
        <f>B7*Premissas!$B$11</f>
        <v/>
      </c>
      <c r="D7" s="3">
        <f>E7-C7</f>
        <v/>
      </c>
      <c r="E7" s="3">
        <f>$E$4</f>
        <v/>
      </c>
      <c r="F7" s="3">
        <f>B7-D7</f>
        <v/>
      </c>
      <c r="H7" s="2" t="inlineStr">
        <is>
          <t>VP do custo @Ku</t>
        </is>
      </c>
      <c r="I7" s="9">
        <f>SUMPRODUCT(E4:E63,1/(1+Premissas!$B$15)^A4:A63)</f>
        <v/>
      </c>
    </row>
    <row r="8">
      <c r="A8" t="n">
        <v>5</v>
      </c>
      <c r="B8" s="3">
        <f>F7</f>
        <v/>
      </c>
      <c r="C8" s="3">
        <f>B8*Premissas!$B$11</f>
        <v/>
      </c>
      <c r="D8" s="3">
        <f>E8-C8</f>
        <v/>
      </c>
      <c r="E8" s="3">
        <f>$E$4</f>
        <v/>
      </c>
      <c r="F8" s="3">
        <f>B8-D8</f>
        <v/>
      </c>
    </row>
    <row r="9">
      <c r="A9" t="n">
        <v>6</v>
      </c>
      <c r="B9" s="3">
        <f>F8</f>
        <v/>
      </c>
      <c r="C9" s="3">
        <f>B9*Premissas!$B$11</f>
        <v/>
      </c>
      <c r="D9" s="3">
        <f>E9-C9</f>
        <v/>
      </c>
      <c r="E9" s="3">
        <f>$E$4</f>
        <v/>
      </c>
      <c r="F9" s="3">
        <f>B9-D9</f>
        <v/>
      </c>
    </row>
    <row r="10">
      <c r="A10" t="n">
        <v>7</v>
      </c>
      <c r="B10" s="3">
        <f>F9</f>
        <v/>
      </c>
      <c r="C10" s="3">
        <f>B10*Premissas!$B$11</f>
        <v/>
      </c>
      <c r="D10" s="3">
        <f>E10-C10</f>
        <v/>
      </c>
      <c r="E10" s="3">
        <f>$E$4</f>
        <v/>
      </c>
      <c r="F10" s="3">
        <f>B10-D10</f>
        <v/>
      </c>
    </row>
    <row r="11">
      <c r="A11" t="n">
        <v>8</v>
      </c>
      <c r="B11" s="3">
        <f>F10</f>
        <v/>
      </c>
      <c r="C11" s="3">
        <f>B11*Premissas!$B$11</f>
        <v/>
      </c>
      <c r="D11" s="3">
        <f>E11-C11</f>
        <v/>
      </c>
      <c r="E11" s="3">
        <f>$E$4</f>
        <v/>
      </c>
      <c r="F11" s="3">
        <f>B11-D11</f>
        <v/>
      </c>
    </row>
    <row r="12">
      <c r="A12" t="n">
        <v>9</v>
      </c>
      <c r="B12" s="3">
        <f>F11</f>
        <v/>
      </c>
      <c r="C12" s="3">
        <f>B12*Premissas!$B$11</f>
        <v/>
      </c>
      <c r="D12" s="3">
        <f>E12-C12</f>
        <v/>
      </c>
      <c r="E12" s="3">
        <f>$E$4</f>
        <v/>
      </c>
      <c r="F12" s="3">
        <f>B12-D12</f>
        <v/>
      </c>
    </row>
    <row r="13">
      <c r="A13" t="n">
        <v>10</v>
      </c>
      <c r="B13" s="3">
        <f>F12</f>
        <v/>
      </c>
      <c r="C13" s="3">
        <f>B13*Premissas!$B$11</f>
        <v/>
      </c>
      <c r="D13" s="3">
        <f>E13-C13</f>
        <v/>
      </c>
      <c r="E13" s="3">
        <f>$E$4</f>
        <v/>
      </c>
      <c r="F13" s="3">
        <f>B13-D13</f>
        <v/>
      </c>
    </row>
    <row r="14">
      <c r="A14" t="n">
        <v>11</v>
      </c>
      <c r="B14" s="3">
        <f>F13</f>
        <v/>
      </c>
      <c r="C14" s="3">
        <f>B14*Premissas!$B$11</f>
        <v/>
      </c>
      <c r="D14" s="3">
        <f>E14-C14</f>
        <v/>
      </c>
      <c r="E14" s="3">
        <f>$E$4</f>
        <v/>
      </c>
      <c r="F14" s="3">
        <f>B14-D14</f>
        <v/>
      </c>
    </row>
    <row r="15">
      <c r="A15" t="n">
        <v>12</v>
      </c>
      <c r="B15" s="3">
        <f>F14</f>
        <v/>
      </c>
      <c r="C15" s="3">
        <f>B15*Premissas!$B$11</f>
        <v/>
      </c>
      <c r="D15" s="3">
        <f>E15-C15</f>
        <v/>
      </c>
      <c r="E15" s="3">
        <f>$E$4</f>
        <v/>
      </c>
      <c r="F15" s="3">
        <f>B15-D15</f>
        <v/>
      </c>
    </row>
    <row r="16">
      <c r="A16" t="n">
        <v>13</v>
      </c>
      <c r="B16" s="3">
        <f>F15</f>
        <v/>
      </c>
      <c r="C16" s="3">
        <f>B16*Premissas!$B$11</f>
        <v/>
      </c>
      <c r="D16" s="3">
        <f>E16-C16</f>
        <v/>
      </c>
      <c r="E16" s="3">
        <f>$E$4</f>
        <v/>
      </c>
      <c r="F16" s="3">
        <f>B16-D16</f>
        <v/>
      </c>
    </row>
    <row r="17">
      <c r="A17" t="n">
        <v>14</v>
      </c>
      <c r="B17" s="3">
        <f>F16</f>
        <v/>
      </c>
      <c r="C17" s="3">
        <f>B17*Premissas!$B$11</f>
        <v/>
      </c>
      <c r="D17" s="3">
        <f>E17-C17</f>
        <v/>
      </c>
      <c r="E17" s="3">
        <f>$E$4</f>
        <v/>
      </c>
      <c r="F17" s="3">
        <f>B17-D17</f>
        <v/>
      </c>
    </row>
    <row r="18">
      <c r="A18" t="n">
        <v>15</v>
      </c>
      <c r="B18" s="3">
        <f>F17</f>
        <v/>
      </c>
      <c r="C18" s="3">
        <f>B18*Premissas!$B$11</f>
        <v/>
      </c>
      <c r="D18" s="3">
        <f>E18-C18</f>
        <v/>
      </c>
      <c r="E18" s="3">
        <f>$E$4</f>
        <v/>
      </c>
      <c r="F18" s="3">
        <f>B18-D18</f>
        <v/>
      </c>
    </row>
    <row r="19">
      <c r="A19" t="n">
        <v>16</v>
      </c>
      <c r="B19" s="3">
        <f>F18</f>
        <v/>
      </c>
      <c r="C19" s="3">
        <f>B19*Premissas!$B$11</f>
        <v/>
      </c>
      <c r="D19" s="3">
        <f>E19-C19</f>
        <v/>
      </c>
      <c r="E19" s="3">
        <f>$E$4</f>
        <v/>
      </c>
      <c r="F19" s="3">
        <f>B19-D19</f>
        <v/>
      </c>
    </row>
    <row r="20">
      <c r="A20" t="n">
        <v>17</v>
      </c>
      <c r="B20" s="3">
        <f>F19</f>
        <v/>
      </c>
      <c r="C20" s="3">
        <f>B20*Premissas!$B$11</f>
        <v/>
      </c>
      <c r="D20" s="3">
        <f>E20-C20</f>
        <v/>
      </c>
      <c r="E20" s="3">
        <f>$E$4</f>
        <v/>
      </c>
      <c r="F20" s="3">
        <f>B20-D20</f>
        <v/>
      </c>
    </row>
    <row r="21">
      <c r="A21" t="n">
        <v>18</v>
      </c>
      <c r="B21" s="3">
        <f>F20</f>
        <v/>
      </c>
      <c r="C21" s="3">
        <f>B21*Premissas!$B$11</f>
        <v/>
      </c>
      <c r="D21" s="3">
        <f>E21-C21</f>
        <v/>
      </c>
      <c r="E21" s="3">
        <f>$E$4</f>
        <v/>
      </c>
      <c r="F21" s="3">
        <f>B21-D21</f>
        <v/>
      </c>
    </row>
    <row r="22">
      <c r="A22" t="n">
        <v>19</v>
      </c>
      <c r="B22" s="3">
        <f>F21</f>
        <v/>
      </c>
      <c r="C22" s="3">
        <f>B22*Premissas!$B$11</f>
        <v/>
      </c>
      <c r="D22" s="3">
        <f>E22-C22</f>
        <v/>
      </c>
      <c r="E22" s="3">
        <f>$E$4</f>
        <v/>
      </c>
      <c r="F22" s="3">
        <f>B22-D22</f>
        <v/>
      </c>
    </row>
    <row r="23">
      <c r="A23" t="n">
        <v>20</v>
      </c>
      <c r="B23" s="3">
        <f>F22</f>
        <v/>
      </c>
      <c r="C23" s="3">
        <f>B23*Premissas!$B$11</f>
        <v/>
      </c>
      <c r="D23" s="3">
        <f>E23-C23</f>
        <v/>
      </c>
      <c r="E23" s="3">
        <f>$E$4</f>
        <v/>
      </c>
      <c r="F23" s="3">
        <f>B23-D23</f>
        <v/>
      </c>
    </row>
    <row r="24">
      <c r="A24" t="n">
        <v>21</v>
      </c>
      <c r="B24" s="3">
        <f>F23</f>
        <v/>
      </c>
      <c r="C24" s="3">
        <f>B24*Premissas!$B$11</f>
        <v/>
      </c>
      <c r="D24" s="3">
        <f>E24-C24</f>
        <v/>
      </c>
      <c r="E24" s="3">
        <f>$E$4</f>
        <v/>
      </c>
      <c r="F24" s="3">
        <f>B24-D24</f>
        <v/>
      </c>
    </row>
    <row r="25">
      <c r="A25" t="n">
        <v>22</v>
      </c>
      <c r="B25" s="3">
        <f>F24</f>
        <v/>
      </c>
      <c r="C25" s="3">
        <f>B25*Premissas!$B$11</f>
        <v/>
      </c>
      <c r="D25" s="3">
        <f>E25-C25</f>
        <v/>
      </c>
      <c r="E25" s="3">
        <f>$E$4</f>
        <v/>
      </c>
      <c r="F25" s="3">
        <f>B25-D25</f>
        <v/>
      </c>
    </row>
    <row r="26">
      <c r="A26" t="n">
        <v>23</v>
      </c>
      <c r="B26" s="3">
        <f>F25</f>
        <v/>
      </c>
      <c r="C26" s="3">
        <f>B26*Premissas!$B$11</f>
        <v/>
      </c>
      <c r="D26" s="3">
        <f>E26-C26</f>
        <v/>
      </c>
      <c r="E26" s="3">
        <f>$E$4</f>
        <v/>
      </c>
      <c r="F26" s="3">
        <f>B26-D26</f>
        <v/>
      </c>
    </row>
    <row r="27">
      <c r="A27" t="n">
        <v>24</v>
      </c>
      <c r="B27" s="3">
        <f>F26</f>
        <v/>
      </c>
      <c r="C27" s="3">
        <f>B27*Premissas!$B$11</f>
        <v/>
      </c>
      <c r="D27" s="3">
        <f>E27-C27</f>
        <v/>
      </c>
      <c r="E27" s="3">
        <f>$E$4</f>
        <v/>
      </c>
      <c r="F27" s="3">
        <f>B27-D27</f>
        <v/>
      </c>
    </row>
    <row r="28">
      <c r="A28" t="n">
        <v>25</v>
      </c>
      <c r="B28" s="3">
        <f>F27</f>
        <v/>
      </c>
      <c r="C28" s="3">
        <f>B28*Premissas!$B$11</f>
        <v/>
      </c>
      <c r="D28" s="3">
        <f>E28-C28</f>
        <v/>
      </c>
      <c r="E28" s="3">
        <f>$E$4</f>
        <v/>
      </c>
      <c r="F28" s="3">
        <f>B28-D28</f>
        <v/>
      </c>
    </row>
    <row r="29">
      <c r="A29" t="n">
        <v>26</v>
      </c>
      <c r="B29" s="3">
        <f>F28</f>
        <v/>
      </c>
      <c r="C29" s="3">
        <f>B29*Premissas!$B$11</f>
        <v/>
      </c>
      <c r="D29" s="3">
        <f>E29-C29</f>
        <v/>
      </c>
      <c r="E29" s="3">
        <f>$E$4</f>
        <v/>
      </c>
      <c r="F29" s="3">
        <f>B29-D29</f>
        <v/>
      </c>
    </row>
    <row r="30">
      <c r="A30" t="n">
        <v>27</v>
      </c>
      <c r="B30" s="3">
        <f>F29</f>
        <v/>
      </c>
      <c r="C30" s="3">
        <f>B30*Premissas!$B$11</f>
        <v/>
      </c>
      <c r="D30" s="3">
        <f>E30-C30</f>
        <v/>
      </c>
      <c r="E30" s="3">
        <f>$E$4</f>
        <v/>
      </c>
      <c r="F30" s="3">
        <f>B30-D30</f>
        <v/>
      </c>
    </row>
    <row r="31">
      <c r="A31" t="n">
        <v>28</v>
      </c>
      <c r="B31" s="3">
        <f>F30</f>
        <v/>
      </c>
      <c r="C31" s="3">
        <f>B31*Premissas!$B$11</f>
        <v/>
      </c>
      <c r="D31" s="3">
        <f>E31-C31</f>
        <v/>
      </c>
      <c r="E31" s="3">
        <f>$E$4</f>
        <v/>
      </c>
      <c r="F31" s="3">
        <f>B31-D31</f>
        <v/>
      </c>
    </row>
    <row r="32">
      <c r="A32" t="n">
        <v>29</v>
      </c>
      <c r="B32" s="3">
        <f>F31</f>
        <v/>
      </c>
      <c r="C32" s="3">
        <f>B32*Premissas!$B$11</f>
        <v/>
      </c>
      <c r="D32" s="3">
        <f>E32-C32</f>
        <v/>
      </c>
      <c r="E32" s="3">
        <f>$E$4</f>
        <v/>
      </c>
      <c r="F32" s="3">
        <f>B32-D32</f>
        <v/>
      </c>
    </row>
    <row r="33">
      <c r="A33" t="n">
        <v>30</v>
      </c>
      <c r="B33" s="3">
        <f>F32</f>
        <v/>
      </c>
      <c r="C33" s="3">
        <f>B33*Premissas!$B$11</f>
        <v/>
      </c>
      <c r="D33" s="3">
        <f>E33-C33</f>
        <v/>
      </c>
      <c r="E33" s="3">
        <f>$E$4</f>
        <v/>
      </c>
      <c r="F33" s="3">
        <f>B33-D33</f>
        <v/>
      </c>
    </row>
    <row r="34">
      <c r="A34" t="n">
        <v>31</v>
      </c>
      <c r="B34" s="3">
        <f>F33</f>
        <v/>
      </c>
      <c r="C34" s="3">
        <f>B34*Premissas!$B$11</f>
        <v/>
      </c>
      <c r="D34" s="3">
        <f>E34-C34</f>
        <v/>
      </c>
      <c r="E34" s="3">
        <f>$E$4</f>
        <v/>
      </c>
      <c r="F34" s="3">
        <f>B34-D34</f>
        <v/>
      </c>
    </row>
    <row r="35">
      <c r="A35" t="n">
        <v>32</v>
      </c>
      <c r="B35" s="3">
        <f>F34</f>
        <v/>
      </c>
      <c r="C35" s="3">
        <f>B35*Premissas!$B$11</f>
        <v/>
      </c>
      <c r="D35" s="3">
        <f>E35-C35</f>
        <v/>
      </c>
      <c r="E35" s="3">
        <f>$E$4</f>
        <v/>
      </c>
      <c r="F35" s="3">
        <f>B35-D35</f>
        <v/>
      </c>
    </row>
    <row r="36">
      <c r="A36" t="n">
        <v>33</v>
      </c>
      <c r="B36" s="3">
        <f>F35</f>
        <v/>
      </c>
      <c r="C36" s="3">
        <f>B36*Premissas!$B$11</f>
        <v/>
      </c>
      <c r="D36" s="3">
        <f>E36-C36</f>
        <v/>
      </c>
      <c r="E36" s="3">
        <f>$E$4</f>
        <v/>
      </c>
      <c r="F36" s="3">
        <f>B36-D36</f>
        <v/>
      </c>
    </row>
    <row r="37">
      <c r="A37" t="n">
        <v>34</v>
      </c>
      <c r="B37" s="3">
        <f>F36</f>
        <v/>
      </c>
      <c r="C37" s="3">
        <f>B37*Premissas!$B$11</f>
        <v/>
      </c>
      <c r="D37" s="3">
        <f>E37-C37</f>
        <v/>
      </c>
      <c r="E37" s="3">
        <f>$E$4</f>
        <v/>
      </c>
      <c r="F37" s="3">
        <f>B37-D37</f>
        <v/>
      </c>
    </row>
    <row r="38">
      <c r="A38" t="n">
        <v>35</v>
      </c>
      <c r="B38" s="3">
        <f>F37</f>
        <v/>
      </c>
      <c r="C38" s="3">
        <f>B38*Premissas!$B$11</f>
        <v/>
      </c>
      <c r="D38" s="3">
        <f>E38-C38</f>
        <v/>
      </c>
      <c r="E38" s="3">
        <f>$E$4</f>
        <v/>
      </c>
      <c r="F38" s="3">
        <f>B38-D38</f>
        <v/>
      </c>
    </row>
    <row r="39">
      <c r="A39" t="n">
        <v>36</v>
      </c>
      <c r="B39" s="3">
        <f>F38</f>
        <v/>
      </c>
      <c r="C39" s="3">
        <f>B39*Premissas!$B$11</f>
        <v/>
      </c>
      <c r="D39" s="3">
        <f>E39-C39</f>
        <v/>
      </c>
      <c r="E39" s="3">
        <f>$E$4</f>
        <v/>
      </c>
      <c r="F39" s="3">
        <f>B39-D39</f>
        <v/>
      </c>
    </row>
    <row r="40">
      <c r="A40" t="n">
        <v>37</v>
      </c>
      <c r="B40" s="3">
        <f>F39</f>
        <v/>
      </c>
      <c r="C40" s="3">
        <f>B40*Premissas!$B$11</f>
        <v/>
      </c>
      <c r="D40" s="3">
        <f>E40-C40</f>
        <v/>
      </c>
      <c r="E40" s="3">
        <f>$E$4</f>
        <v/>
      </c>
      <c r="F40" s="3">
        <f>B40-D40</f>
        <v/>
      </c>
    </row>
    <row r="41">
      <c r="A41" t="n">
        <v>38</v>
      </c>
      <c r="B41" s="3">
        <f>F40</f>
        <v/>
      </c>
      <c r="C41" s="3">
        <f>B41*Premissas!$B$11</f>
        <v/>
      </c>
      <c r="D41" s="3">
        <f>E41-C41</f>
        <v/>
      </c>
      <c r="E41" s="3">
        <f>$E$4</f>
        <v/>
      </c>
      <c r="F41" s="3">
        <f>B41-D41</f>
        <v/>
      </c>
    </row>
    <row r="42">
      <c r="A42" t="n">
        <v>39</v>
      </c>
      <c r="B42" s="3">
        <f>F41</f>
        <v/>
      </c>
      <c r="C42" s="3">
        <f>B42*Premissas!$B$11</f>
        <v/>
      </c>
      <c r="D42" s="3">
        <f>E42-C42</f>
        <v/>
      </c>
      <c r="E42" s="3">
        <f>$E$4</f>
        <v/>
      </c>
      <c r="F42" s="3">
        <f>B42-D42</f>
        <v/>
      </c>
    </row>
    <row r="43">
      <c r="A43" t="n">
        <v>40</v>
      </c>
      <c r="B43" s="3">
        <f>F42</f>
        <v/>
      </c>
      <c r="C43" s="3">
        <f>B43*Premissas!$B$11</f>
        <v/>
      </c>
      <c r="D43" s="3">
        <f>E43-C43</f>
        <v/>
      </c>
      <c r="E43" s="3">
        <f>$E$4</f>
        <v/>
      </c>
      <c r="F43" s="3">
        <f>B43-D43</f>
        <v/>
      </c>
    </row>
    <row r="44">
      <c r="A44" t="n">
        <v>41</v>
      </c>
      <c r="B44" s="3">
        <f>F43</f>
        <v/>
      </c>
      <c r="C44" s="3">
        <f>B44*Premissas!$B$11</f>
        <v/>
      </c>
      <c r="D44" s="3">
        <f>E44-C44</f>
        <v/>
      </c>
      <c r="E44" s="3">
        <f>$E$4</f>
        <v/>
      </c>
      <c r="F44" s="3">
        <f>B44-D44</f>
        <v/>
      </c>
    </row>
    <row r="45">
      <c r="A45" t="n">
        <v>42</v>
      </c>
      <c r="B45" s="3">
        <f>F44</f>
        <v/>
      </c>
      <c r="C45" s="3">
        <f>B45*Premissas!$B$11</f>
        <v/>
      </c>
      <c r="D45" s="3">
        <f>E45-C45</f>
        <v/>
      </c>
      <c r="E45" s="3">
        <f>$E$4</f>
        <v/>
      </c>
      <c r="F45" s="3">
        <f>B45-D45</f>
        <v/>
      </c>
    </row>
    <row r="46">
      <c r="A46" t="n">
        <v>43</v>
      </c>
      <c r="B46" s="3">
        <f>F45</f>
        <v/>
      </c>
      <c r="C46" s="3">
        <f>B46*Premissas!$B$11</f>
        <v/>
      </c>
      <c r="D46" s="3">
        <f>E46-C46</f>
        <v/>
      </c>
      <c r="E46" s="3">
        <f>$E$4</f>
        <v/>
      </c>
      <c r="F46" s="3">
        <f>B46-D46</f>
        <v/>
      </c>
    </row>
    <row r="47">
      <c r="A47" t="n">
        <v>44</v>
      </c>
      <c r="B47" s="3">
        <f>F46</f>
        <v/>
      </c>
      <c r="C47" s="3">
        <f>B47*Premissas!$B$11</f>
        <v/>
      </c>
      <c r="D47" s="3">
        <f>E47-C47</f>
        <v/>
      </c>
      <c r="E47" s="3">
        <f>$E$4</f>
        <v/>
      </c>
      <c r="F47" s="3">
        <f>B47-D47</f>
        <v/>
      </c>
    </row>
    <row r="48">
      <c r="A48" t="n">
        <v>45</v>
      </c>
      <c r="B48" s="3">
        <f>F47</f>
        <v/>
      </c>
      <c r="C48" s="3">
        <f>B48*Premissas!$B$11</f>
        <v/>
      </c>
      <c r="D48" s="3">
        <f>E48-C48</f>
        <v/>
      </c>
      <c r="E48" s="3">
        <f>$E$4</f>
        <v/>
      </c>
      <c r="F48" s="3">
        <f>B48-D48</f>
        <v/>
      </c>
    </row>
    <row r="49">
      <c r="A49" t="n">
        <v>46</v>
      </c>
      <c r="B49" s="3">
        <f>F48</f>
        <v/>
      </c>
      <c r="C49" s="3">
        <f>B49*Premissas!$B$11</f>
        <v/>
      </c>
      <c r="D49" s="3">
        <f>E49-C49</f>
        <v/>
      </c>
      <c r="E49" s="3">
        <f>$E$4</f>
        <v/>
      </c>
      <c r="F49" s="3">
        <f>B49-D49</f>
        <v/>
      </c>
    </row>
    <row r="50">
      <c r="A50" t="n">
        <v>47</v>
      </c>
      <c r="B50" s="3">
        <f>F49</f>
        <v/>
      </c>
      <c r="C50" s="3">
        <f>B50*Premissas!$B$11</f>
        <v/>
      </c>
      <c r="D50" s="3">
        <f>E50-C50</f>
        <v/>
      </c>
      <c r="E50" s="3">
        <f>$E$4</f>
        <v/>
      </c>
      <c r="F50" s="3">
        <f>B50-D50</f>
        <v/>
      </c>
    </row>
    <row r="51">
      <c r="A51" t="n">
        <v>48</v>
      </c>
      <c r="B51" s="3">
        <f>F50</f>
        <v/>
      </c>
      <c r="C51" s="3">
        <f>B51*Premissas!$B$11</f>
        <v/>
      </c>
      <c r="D51" s="3">
        <f>E51-C51</f>
        <v/>
      </c>
      <c r="E51" s="3">
        <f>$E$4</f>
        <v/>
      </c>
      <c r="F51" s="3">
        <f>B51-D51</f>
        <v/>
      </c>
    </row>
    <row r="52">
      <c r="A52" t="n">
        <v>49</v>
      </c>
      <c r="B52" s="3">
        <f>F51</f>
        <v/>
      </c>
      <c r="C52" s="3">
        <f>B52*Premissas!$B$11</f>
        <v/>
      </c>
      <c r="D52" s="3">
        <f>E52-C52</f>
        <v/>
      </c>
      <c r="E52" s="3">
        <f>$E$4</f>
        <v/>
      </c>
      <c r="F52" s="3">
        <f>B52-D52</f>
        <v/>
      </c>
    </row>
    <row r="53">
      <c r="A53" t="n">
        <v>50</v>
      </c>
      <c r="B53" s="3">
        <f>F52</f>
        <v/>
      </c>
      <c r="C53" s="3">
        <f>B53*Premissas!$B$11</f>
        <v/>
      </c>
      <c r="D53" s="3">
        <f>E53-C53</f>
        <v/>
      </c>
      <c r="E53" s="3">
        <f>$E$4</f>
        <v/>
      </c>
      <c r="F53" s="3">
        <f>B53-D53</f>
        <v/>
      </c>
    </row>
    <row r="54">
      <c r="A54" t="n">
        <v>51</v>
      </c>
      <c r="B54" s="3">
        <f>F53</f>
        <v/>
      </c>
      <c r="C54" s="3">
        <f>B54*Premissas!$B$11</f>
        <v/>
      </c>
      <c r="D54" s="3">
        <f>E54-C54</f>
        <v/>
      </c>
      <c r="E54" s="3">
        <f>$E$4</f>
        <v/>
      </c>
      <c r="F54" s="3">
        <f>B54-D54</f>
        <v/>
      </c>
    </row>
    <row r="55">
      <c r="A55" t="n">
        <v>52</v>
      </c>
      <c r="B55" s="3">
        <f>F54</f>
        <v/>
      </c>
      <c r="C55" s="3">
        <f>B55*Premissas!$B$11</f>
        <v/>
      </c>
      <c r="D55" s="3">
        <f>E55-C55</f>
        <v/>
      </c>
      <c r="E55" s="3">
        <f>$E$4</f>
        <v/>
      </c>
      <c r="F55" s="3">
        <f>B55-D55</f>
        <v/>
      </c>
    </row>
    <row r="56">
      <c r="A56" t="n">
        <v>53</v>
      </c>
      <c r="B56" s="3">
        <f>F55</f>
        <v/>
      </c>
      <c r="C56" s="3">
        <f>B56*Premissas!$B$11</f>
        <v/>
      </c>
      <c r="D56" s="3">
        <f>E56-C56</f>
        <v/>
      </c>
      <c r="E56" s="3">
        <f>$E$4</f>
        <v/>
      </c>
      <c r="F56" s="3">
        <f>B56-D56</f>
        <v/>
      </c>
    </row>
    <row r="57">
      <c r="A57" t="n">
        <v>54</v>
      </c>
      <c r="B57" s="3">
        <f>F56</f>
        <v/>
      </c>
      <c r="C57" s="3">
        <f>B57*Premissas!$B$11</f>
        <v/>
      </c>
      <c r="D57" s="3">
        <f>E57-C57</f>
        <v/>
      </c>
      <c r="E57" s="3">
        <f>$E$4</f>
        <v/>
      </c>
      <c r="F57" s="3">
        <f>B57-D57</f>
        <v/>
      </c>
    </row>
    <row r="58">
      <c r="A58" t="n">
        <v>55</v>
      </c>
      <c r="B58" s="3">
        <f>F57</f>
        <v/>
      </c>
      <c r="C58" s="3">
        <f>B58*Premissas!$B$11</f>
        <v/>
      </c>
      <c r="D58" s="3">
        <f>E58-C58</f>
        <v/>
      </c>
      <c r="E58" s="3">
        <f>$E$4</f>
        <v/>
      </c>
      <c r="F58" s="3">
        <f>B58-D58</f>
        <v/>
      </c>
    </row>
    <row r="59">
      <c r="A59" t="n">
        <v>56</v>
      </c>
      <c r="B59" s="3">
        <f>F58</f>
        <v/>
      </c>
      <c r="C59" s="3">
        <f>B59*Premissas!$B$11</f>
        <v/>
      </c>
      <c r="D59" s="3">
        <f>E59-C59</f>
        <v/>
      </c>
      <c r="E59" s="3">
        <f>$E$4</f>
        <v/>
      </c>
      <c r="F59" s="3">
        <f>B59-D59</f>
        <v/>
      </c>
    </row>
    <row r="60">
      <c r="A60" t="n">
        <v>57</v>
      </c>
      <c r="B60" s="3">
        <f>F59</f>
        <v/>
      </c>
      <c r="C60" s="3">
        <f>B60*Premissas!$B$11</f>
        <v/>
      </c>
      <c r="D60" s="3">
        <f>E60-C60</f>
        <v/>
      </c>
      <c r="E60" s="3">
        <f>$E$4</f>
        <v/>
      </c>
      <c r="F60" s="3">
        <f>B60-D60</f>
        <v/>
      </c>
    </row>
    <row r="61">
      <c r="A61" t="n">
        <v>58</v>
      </c>
      <c r="B61" s="3">
        <f>F60</f>
        <v/>
      </c>
      <c r="C61" s="3">
        <f>B61*Premissas!$B$11</f>
        <v/>
      </c>
      <c r="D61" s="3">
        <f>E61-C61</f>
        <v/>
      </c>
      <c r="E61" s="3">
        <f>$E$4</f>
        <v/>
      </c>
      <c r="F61" s="3">
        <f>B61-D61</f>
        <v/>
      </c>
    </row>
    <row r="62">
      <c r="A62" t="n">
        <v>59</v>
      </c>
      <c r="B62" s="3">
        <f>F61</f>
        <v/>
      </c>
      <c r="C62" s="3">
        <f>B62*Premissas!$B$11</f>
        <v/>
      </c>
      <c r="D62" s="3">
        <f>E62-C62</f>
        <v/>
      </c>
      <c r="E62" s="3">
        <f>$E$4</f>
        <v/>
      </c>
      <c r="F62" s="3">
        <f>B62-D62</f>
        <v/>
      </c>
    </row>
    <row r="63">
      <c r="A63" t="n">
        <v>60</v>
      </c>
      <c r="B63" s="3">
        <f>F62</f>
        <v/>
      </c>
      <c r="C63" s="3">
        <f>B63*Premissas!$B$11</f>
        <v/>
      </c>
      <c r="D63" s="3">
        <f>E63-C63</f>
        <v/>
      </c>
      <c r="E63" s="3">
        <f>$E$4</f>
        <v/>
      </c>
      <c r="F63" s="3">
        <f>B63-D63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20" customWidth="1" min="8" max="8"/>
    <col width="12" customWidth="1" min="9" max="9"/>
  </cols>
  <sheetData>
    <row r="1">
      <c r="A1" s="1" t="inlineStr">
        <is>
          <t>SAC (700k, 1%/mês, 60 meses)</t>
        </is>
      </c>
    </row>
    <row r="3">
      <c r="A3" s="7" t="inlineStr">
        <is>
          <t>Mês</t>
        </is>
      </c>
      <c r="B3" s="7" t="inlineStr">
        <is>
          <t>Saldo inicial</t>
        </is>
      </c>
      <c r="C3" s="7" t="inlineStr">
        <is>
          <t>Juros</t>
        </is>
      </c>
      <c r="D3" s="7" t="inlineStr">
        <is>
          <t>Amortização</t>
        </is>
      </c>
      <c r="E3" s="7" t="inlineStr">
        <is>
          <t>Parcela</t>
        </is>
      </c>
      <c r="F3" s="7" t="inlineStr">
        <is>
          <t>Saldo final</t>
        </is>
      </c>
      <c r="H3" t="inlineStr">
        <is>
          <t>1ª parcela</t>
        </is>
      </c>
      <c r="I3" s="3">
        <f>E4</f>
        <v/>
      </c>
    </row>
    <row r="4">
      <c r="A4" t="n">
        <v>1</v>
      </c>
      <c r="B4" s="3">
        <f>Premissas!$B$5</f>
        <v/>
      </c>
      <c r="C4" s="3">
        <f>B4*Premissas!$B$11</f>
        <v/>
      </c>
      <c r="D4" s="3">
        <f>Premissas!$B$5/60</f>
        <v/>
      </c>
      <c r="E4" s="3">
        <f>C4+D4</f>
        <v/>
      </c>
      <c r="F4" s="3">
        <f>B4-D4</f>
        <v/>
      </c>
      <c r="H4" t="inlineStr">
        <is>
          <t>última parcela</t>
        </is>
      </c>
      <c r="I4" s="3">
        <f>E63</f>
        <v/>
      </c>
    </row>
    <row r="5">
      <c r="A5" t="n">
        <v>2</v>
      </c>
      <c r="B5" s="3">
        <f>F4</f>
        <v/>
      </c>
      <c r="C5" s="3">
        <f>B5*Premissas!$B$11</f>
        <v/>
      </c>
      <c r="D5" s="3">
        <f>Premissas!$B$5/60</f>
        <v/>
      </c>
      <c r="E5" s="3">
        <f>C5+D5</f>
        <v/>
      </c>
      <c r="F5" s="3">
        <f>B5-D5</f>
        <v/>
      </c>
      <c r="H5" t="inlineStr">
        <is>
          <t>Ano 1 (meses 1-12)</t>
        </is>
      </c>
      <c r="I5" s="3">
        <f>SUM(E4:E15)</f>
        <v/>
      </c>
    </row>
    <row r="6">
      <c r="A6" t="n">
        <v>3</v>
      </c>
      <c r="B6" s="3">
        <f>F5</f>
        <v/>
      </c>
      <c r="C6" s="3">
        <f>B6*Premissas!$B$11</f>
        <v/>
      </c>
      <c r="D6" s="3">
        <f>Premissas!$B$5/60</f>
        <v/>
      </c>
      <c r="E6" s="3">
        <f>C6+D6</f>
        <v/>
      </c>
      <c r="F6" s="3">
        <f>B6-D6</f>
        <v/>
      </c>
      <c r="H6" t="inlineStr">
        <is>
          <t>Total pago</t>
        </is>
      </c>
      <c r="I6" s="3">
        <f>SUM(E4:E63)</f>
        <v/>
      </c>
    </row>
    <row r="7">
      <c r="A7" t="n">
        <v>4</v>
      </c>
      <c r="B7" s="3">
        <f>F6</f>
        <v/>
      </c>
      <c r="C7" s="3">
        <f>B7*Premissas!$B$11</f>
        <v/>
      </c>
      <c r="D7" s="3">
        <f>Premissas!$B$5/60</f>
        <v/>
      </c>
      <c r="E7" s="3">
        <f>C7+D7</f>
        <v/>
      </c>
      <c r="F7" s="3">
        <f>B7-D7</f>
        <v/>
      </c>
      <c r="H7" t="inlineStr">
        <is>
          <t>Juros totais</t>
        </is>
      </c>
      <c r="I7" s="3">
        <f>I6-Premissas!B5</f>
        <v/>
      </c>
    </row>
    <row r="8">
      <c r="A8" t="n">
        <v>5</v>
      </c>
      <c r="B8" s="3">
        <f>F7</f>
        <v/>
      </c>
      <c r="C8" s="3">
        <f>B8*Premissas!$B$11</f>
        <v/>
      </c>
      <c r="D8" s="3">
        <f>Premissas!$B$5/60</f>
        <v/>
      </c>
      <c r="E8" s="3">
        <f>C8+D8</f>
        <v/>
      </c>
      <c r="F8" s="3">
        <f>B8-D8</f>
        <v/>
      </c>
      <c r="H8" s="2" t="inlineStr">
        <is>
          <t>VP do custo @Ku</t>
        </is>
      </c>
      <c r="I8" s="9">
        <f>SUMPRODUCT(E4:E63,1/(1+Premissas!$B$15)^A4:A63)</f>
        <v/>
      </c>
    </row>
    <row r="9">
      <c r="A9" t="n">
        <v>6</v>
      </c>
      <c r="B9" s="3">
        <f>F8</f>
        <v/>
      </c>
      <c r="C9" s="3">
        <f>B9*Premissas!$B$11</f>
        <v/>
      </c>
      <c r="D9" s="3">
        <f>Premissas!$B$5/60</f>
        <v/>
      </c>
      <c r="E9" s="3">
        <f>C9+D9</f>
        <v/>
      </c>
      <c r="F9" s="3">
        <f>B9-D9</f>
        <v/>
      </c>
    </row>
    <row r="10">
      <c r="A10" t="n">
        <v>7</v>
      </c>
      <c r="B10" s="3">
        <f>F9</f>
        <v/>
      </c>
      <c r="C10" s="3">
        <f>B10*Premissas!$B$11</f>
        <v/>
      </c>
      <c r="D10" s="3">
        <f>Premissas!$B$5/60</f>
        <v/>
      </c>
      <c r="E10" s="3">
        <f>C10+D10</f>
        <v/>
      </c>
      <c r="F10" s="3">
        <f>B10-D10</f>
        <v/>
      </c>
    </row>
    <row r="11">
      <c r="A11" t="n">
        <v>8</v>
      </c>
      <c r="B11" s="3">
        <f>F10</f>
        <v/>
      </c>
      <c r="C11" s="3">
        <f>B11*Premissas!$B$11</f>
        <v/>
      </c>
      <c r="D11" s="3">
        <f>Premissas!$B$5/60</f>
        <v/>
      </c>
      <c r="E11" s="3">
        <f>C11+D11</f>
        <v/>
      </c>
      <c r="F11" s="3">
        <f>B11-D11</f>
        <v/>
      </c>
    </row>
    <row r="12">
      <c r="A12" t="n">
        <v>9</v>
      </c>
      <c r="B12" s="3">
        <f>F11</f>
        <v/>
      </c>
      <c r="C12" s="3">
        <f>B12*Premissas!$B$11</f>
        <v/>
      </c>
      <c r="D12" s="3">
        <f>Premissas!$B$5/60</f>
        <v/>
      </c>
      <c r="E12" s="3">
        <f>C12+D12</f>
        <v/>
      </c>
      <c r="F12" s="3">
        <f>B12-D12</f>
        <v/>
      </c>
    </row>
    <row r="13">
      <c r="A13" t="n">
        <v>10</v>
      </c>
      <c r="B13" s="3">
        <f>F12</f>
        <v/>
      </c>
      <c r="C13" s="3">
        <f>B13*Premissas!$B$11</f>
        <v/>
      </c>
      <c r="D13" s="3">
        <f>Premissas!$B$5/60</f>
        <v/>
      </c>
      <c r="E13" s="3">
        <f>C13+D13</f>
        <v/>
      </c>
      <c r="F13" s="3">
        <f>B13-D13</f>
        <v/>
      </c>
    </row>
    <row r="14">
      <c r="A14" t="n">
        <v>11</v>
      </c>
      <c r="B14" s="3">
        <f>F13</f>
        <v/>
      </c>
      <c r="C14" s="3">
        <f>B14*Premissas!$B$11</f>
        <v/>
      </c>
      <c r="D14" s="3">
        <f>Premissas!$B$5/60</f>
        <v/>
      </c>
      <c r="E14" s="3">
        <f>C14+D14</f>
        <v/>
      </c>
      <c r="F14" s="3">
        <f>B14-D14</f>
        <v/>
      </c>
    </row>
    <row r="15">
      <c r="A15" t="n">
        <v>12</v>
      </c>
      <c r="B15" s="3">
        <f>F14</f>
        <v/>
      </c>
      <c r="C15" s="3">
        <f>B15*Premissas!$B$11</f>
        <v/>
      </c>
      <c r="D15" s="3">
        <f>Premissas!$B$5/60</f>
        <v/>
      </c>
      <c r="E15" s="3">
        <f>C15+D15</f>
        <v/>
      </c>
      <c r="F15" s="3">
        <f>B15-D15</f>
        <v/>
      </c>
    </row>
    <row r="16">
      <c r="A16" t="n">
        <v>13</v>
      </c>
      <c r="B16" s="3">
        <f>F15</f>
        <v/>
      </c>
      <c r="C16" s="3">
        <f>B16*Premissas!$B$11</f>
        <v/>
      </c>
      <c r="D16" s="3">
        <f>Premissas!$B$5/60</f>
        <v/>
      </c>
      <c r="E16" s="3">
        <f>C16+D16</f>
        <v/>
      </c>
      <c r="F16" s="3">
        <f>B16-D16</f>
        <v/>
      </c>
    </row>
    <row r="17">
      <c r="A17" t="n">
        <v>14</v>
      </c>
      <c r="B17" s="3">
        <f>F16</f>
        <v/>
      </c>
      <c r="C17" s="3">
        <f>B17*Premissas!$B$11</f>
        <v/>
      </c>
      <c r="D17" s="3">
        <f>Premissas!$B$5/60</f>
        <v/>
      </c>
      <c r="E17" s="3">
        <f>C17+D17</f>
        <v/>
      </c>
      <c r="F17" s="3">
        <f>B17-D17</f>
        <v/>
      </c>
    </row>
    <row r="18">
      <c r="A18" t="n">
        <v>15</v>
      </c>
      <c r="B18" s="3">
        <f>F17</f>
        <v/>
      </c>
      <c r="C18" s="3">
        <f>B18*Premissas!$B$11</f>
        <v/>
      </c>
      <c r="D18" s="3">
        <f>Premissas!$B$5/60</f>
        <v/>
      </c>
      <c r="E18" s="3">
        <f>C18+D18</f>
        <v/>
      </c>
      <c r="F18" s="3">
        <f>B18-D18</f>
        <v/>
      </c>
    </row>
    <row r="19">
      <c r="A19" t="n">
        <v>16</v>
      </c>
      <c r="B19" s="3">
        <f>F18</f>
        <v/>
      </c>
      <c r="C19" s="3">
        <f>B19*Premissas!$B$11</f>
        <v/>
      </c>
      <c r="D19" s="3">
        <f>Premissas!$B$5/60</f>
        <v/>
      </c>
      <c r="E19" s="3">
        <f>C19+D19</f>
        <v/>
      </c>
      <c r="F19" s="3">
        <f>B19-D19</f>
        <v/>
      </c>
    </row>
    <row r="20">
      <c r="A20" t="n">
        <v>17</v>
      </c>
      <c r="B20" s="3">
        <f>F19</f>
        <v/>
      </c>
      <c r="C20" s="3">
        <f>B20*Premissas!$B$11</f>
        <v/>
      </c>
      <c r="D20" s="3">
        <f>Premissas!$B$5/60</f>
        <v/>
      </c>
      <c r="E20" s="3">
        <f>C20+D20</f>
        <v/>
      </c>
      <c r="F20" s="3">
        <f>B20-D20</f>
        <v/>
      </c>
    </row>
    <row r="21">
      <c r="A21" t="n">
        <v>18</v>
      </c>
      <c r="B21" s="3">
        <f>F20</f>
        <v/>
      </c>
      <c r="C21" s="3">
        <f>B21*Premissas!$B$11</f>
        <v/>
      </c>
      <c r="D21" s="3">
        <f>Premissas!$B$5/60</f>
        <v/>
      </c>
      <c r="E21" s="3">
        <f>C21+D21</f>
        <v/>
      </c>
      <c r="F21" s="3">
        <f>B21-D21</f>
        <v/>
      </c>
    </row>
    <row r="22">
      <c r="A22" t="n">
        <v>19</v>
      </c>
      <c r="B22" s="3">
        <f>F21</f>
        <v/>
      </c>
      <c r="C22" s="3">
        <f>B22*Premissas!$B$11</f>
        <v/>
      </c>
      <c r="D22" s="3">
        <f>Premissas!$B$5/60</f>
        <v/>
      </c>
      <c r="E22" s="3">
        <f>C22+D22</f>
        <v/>
      </c>
      <c r="F22" s="3">
        <f>B22-D22</f>
        <v/>
      </c>
    </row>
    <row r="23">
      <c r="A23" t="n">
        <v>20</v>
      </c>
      <c r="B23" s="3">
        <f>F22</f>
        <v/>
      </c>
      <c r="C23" s="3">
        <f>B23*Premissas!$B$11</f>
        <v/>
      </c>
      <c r="D23" s="3">
        <f>Premissas!$B$5/60</f>
        <v/>
      </c>
      <c r="E23" s="3">
        <f>C23+D23</f>
        <v/>
      </c>
      <c r="F23" s="3">
        <f>B23-D23</f>
        <v/>
      </c>
    </row>
    <row r="24">
      <c r="A24" t="n">
        <v>21</v>
      </c>
      <c r="B24" s="3">
        <f>F23</f>
        <v/>
      </c>
      <c r="C24" s="3">
        <f>B24*Premissas!$B$11</f>
        <v/>
      </c>
      <c r="D24" s="3">
        <f>Premissas!$B$5/60</f>
        <v/>
      </c>
      <c r="E24" s="3">
        <f>C24+D24</f>
        <v/>
      </c>
      <c r="F24" s="3">
        <f>B24-D24</f>
        <v/>
      </c>
    </row>
    <row r="25">
      <c r="A25" t="n">
        <v>22</v>
      </c>
      <c r="B25" s="3">
        <f>F24</f>
        <v/>
      </c>
      <c r="C25" s="3">
        <f>B25*Premissas!$B$11</f>
        <v/>
      </c>
      <c r="D25" s="3">
        <f>Premissas!$B$5/60</f>
        <v/>
      </c>
      <c r="E25" s="3">
        <f>C25+D25</f>
        <v/>
      </c>
      <c r="F25" s="3">
        <f>B25-D25</f>
        <v/>
      </c>
    </row>
    <row r="26">
      <c r="A26" t="n">
        <v>23</v>
      </c>
      <c r="B26" s="3">
        <f>F25</f>
        <v/>
      </c>
      <c r="C26" s="3">
        <f>B26*Premissas!$B$11</f>
        <v/>
      </c>
      <c r="D26" s="3">
        <f>Premissas!$B$5/60</f>
        <v/>
      </c>
      <c r="E26" s="3">
        <f>C26+D26</f>
        <v/>
      </c>
      <c r="F26" s="3">
        <f>B26-D26</f>
        <v/>
      </c>
    </row>
    <row r="27">
      <c r="A27" t="n">
        <v>24</v>
      </c>
      <c r="B27" s="3">
        <f>F26</f>
        <v/>
      </c>
      <c r="C27" s="3">
        <f>B27*Premissas!$B$11</f>
        <v/>
      </c>
      <c r="D27" s="3">
        <f>Premissas!$B$5/60</f>
        <v/>
      </c>
      <c r="E27" s="3">
        <f>C27+D27</f>
        <v/>
      </c>
      <c r="F27" s="3">
        <f>B27-D27</f>
        <v/>
      </c>
    </row>
    <row r="28">
      <c r="A28" t="n">
        <v>25</v>
      </c>
      <c r="B28" s="3">
        <f>F27</f>
        <v/>
      </c>
      <c r="C28" s="3">
        <f>B28*Premissas!$B$11</f>
        <v/>
      </c>
      <c r="D28" s="3">
        <f>Premissas!$B$5/60</f>
        <v/>
      </c>
      <c r="E28" s="3">
        <f>C28+D28</f>
        <v/>
      </c>
      <c r="F28" s="3">
        <f>B28-D28</f>
        <v/>
      </c>
    </row>
    <row r="29">
      <c r="A29" t="n">
        <v>26</v>
      </c>
      <c r="B29" s="3">
        <f>F28</f>
        <v/>
      </c>
      <c r="C29" s="3">
        <f>B29*Premissas!$B$11</f>
        <v/>
      </c>
      <c r="D29" s="3">
        <f>Premissas!$B$5/60</f>
        <v/>
      </c>
      <c r="E29" s="3">
        <f>C29+D29</f>
        <v/>
      </c>
      <c r="F29" s="3">
        <f>B29-D29</f>
        <v/>
      </c>
    </row>
    <row r="30">
      <c r="A30" t="n">
        <v>27</v>
      </c>
      <c r="B30" s="3">
        <f>F29</f>
        <v/>
      </c>
      <c r="C30" s="3">
        <f>B30*Premissas!$B$11</f>
        <v/>
      </c>
      <c r="D30" s="3">
        <f>Premissas!$B$5/60</f>
        <v/>
      </c>
      <c r="E30" s="3">
        <f>C30+D30</f>
        <v/>
      </c>
      <c r="F30" s="3">
        <f>B30-D30</f>
        <v/>
      </c>
    </row>
    <row r="31">
      <c r="A31" t="n">
        <v>28</v>
      </c>
      <c r="B31" s="3">
        <f>F30</f>
        <v/>
      </c>
      <c r="C31" s="3">
        <f>B31*Premissas!$B$11</f>
        <v/>
      </c>
      <c r="D31" s="3">
        <f>Premissas!$B$5/60</f>
        <v/>
      </c>
      <c r="E31" s="3">
        <f>C31+D31</f>
        <v/>
      </c>
      <c r="F31" s="3">
        <f>B31-D31</f>
        <v/>
      </c>
    </row>
    <row r="32">
      <c r="A32" t="n">
        <v>29</v>
      </c>
      <c r="B32" s="3">
        <f>F31</f>
        <v/>
      </c>
      <c r="C32" s="3">
        <f>B32*Premissas!$B$11</f>
        <v/>
      </c>
      <c r="D32" s="3">
        <f>Premissas!$B$5/60</f>
        <v/>
      </c>
      <c r="E32" s="3">
        <f>C32+D32</f>
        <v/>
      </c>
      <c r="F32" s="3">
        <f>B32-D32</f>
        <v/>
      </c>
    </row>
    <row r="33">
      <c r="A33" t="n">
        <v>30</v>
      </c>
      <c r="B33" s="3">
        <f>F32</f>
        <v/>
      </c>
      <c r="C33" s="3">
        <f>B33*Premissas!$B$11</f>
        <v/>
      </c>
      <c r="D33" s="3">
        <f>Premissas!$B$5/60</f>
        <v/>
      </c>
      <c r="E33" s="3">
        <f>C33+D33</f>
        <v/>
      </c>
      <c r="F33" s="3">
        <f>B33-D33</f>
        <v/>
      </c>
    </row>
    <row r="34">
      <c r="A34" t="n">
        <v>31</v>
      </c>
      <c r="B34" s="3">
        <f>F33</f>
        <v/>
      </c>
      <c r="C34" s="3">
        <f>B34*Premissas!$B$11</f>
        <v/>
      </c>
      <c r="D34" s="3">
        <f>Premissas!$B$5/60</f>
        <v/>
      </c>
      <c r="E34" s="3">
        <f>C34+D34</f>
        <v/>
      </c>
      <c r="F34" s="3">
        <f>B34-D34</f>
        <v/>
      </c>
    </row>
    <row r="35">
      <c r="A35" t="n">
        <v>32</v>
      </c>
      <c r="B35" s="3">
        <f>F34</f>
        <v/>
      </c>
      <c r="C35" s="3">
        <f>B35*Premissas!$B$11</f>
        <v/>
      </c>
      <c r="D35" s="3">
        <f>Premissas!$B$5/60</f>
        <v/>
      </c>
      <c r="E35" s="3">
        <f>C35+D35</f>
        <v/>
      </c>
      <c r="F35" s="3">
        <f>B35-D35</f>
        <v/>
      </c>
    </row>
    <row r="36">
      <c r="A36" t="n">
        <v>33</v>
      </c>
      <c r="B36" s="3">
        <f>F35</f>
        <v/>
      </c>
      <c r="C36" s="3">
        <f>B36*Premissas!$B$11</f>
        <v/>
      </c>
      <c r="D36" s="3">
        <f>Premissas!$B$5/60</f>
        <v/>
      </c>
      <c r="E36" s="3">
        <f>C36+D36</f>
        <v/>
      </c>
      <c r="F36" s="3">
        <f>B36-D36</f>
        <v/>
      </c>
    </row>
    <row r="37">
      <c r="A37" t="n">
        <v>34</v>
      </c>
      <c r="B37" s="3">
        <f>F36</f>
        <v/>
      </c>
      <c r="C37" s="3">
        <f>B37*Premissas!$B$11</f>
        <v/>
      </c>
      <c r="D37" s="3">
        <f>Premissas!$B$5/60</f>
        <v/>
      </c>
      <c r="E37" s="3">
        <f>C37+D37</f>
        <v/>
      </c>
      <c r="F37" s="3">
        <f>B37-D37</f>
        <v/>
      </c>
    </row>
    <row r="38">
      <c r="A38" t="n">
        <v>35</v>
      </c>
      <c r="B38" s="3">
        <f>F37</f>
        <v/>
      </c>
      <c r="C38" s="3">
        <f>B38*Premissas!$B$11</f>
        <v/>
      </c>
      <c r="D38" s="3">
        <f>Premissas!$B$5/60</f>
        <v/>
      </c>
      <c r="E38" s="3">
        <f>C38+D38</f>
        <v/>
      </c>
      <c r="F38" s="3">
        <f>B38-D38</f>
        <v/>
      </c>
    </row>
    <row r="39">
      <c r="A39" t="n">
        <v>36</v>
      </c>
      <c r="B39" s="3">
        <f>F38</f>
        <v/>
      </c>
      <c r="C39" s="3">
        <f>B39*Premissas!$B$11</f>
        <v/>
      </c>
      <c r="D39" s="3">
        <f>Premissas!$B$5/60</f>
        <v/>
      </c>
      <c r="E39" s="3">
        <f>C39+D39</f>
        <v/>
      </c>
      <c r="F39" s="3">
        <f>B39-D39</f>
        <v/>
      </c>
    </row>
    <row r="40">
      <c r="A40" t="n">
        <v>37</v>
      </c>
      <c r="B40" s="3">
        <f>F39</f>
        <v/>
      </c>
      <c r="C40" s="3">
        <f>B40*Premissas!$B$11</f>
        <v/>
      </c>
      <c r="D40" s="3">
        <f>Premissas!$B$5/60</f>
        <v/>
      </c>
      <c r="E40" s="3">
        <f>C40+D40</f>
        <v/>
      </c>
      <c r="F40" s="3">
        <f>B40-D40</f>
        <v/>
      </c>
    </row>
    <row r="41">
      <c r="A41" t="n">
        <v>38</v>
      </c>
      <c r="B41" s="3">
        <f>F40</f>
        <v/>
      </c>
      <c r="C41" s="3">
        <f>B41*Premissas!$B$11</f>
        <v/>
      </c>
      <c r="D41" s="3">
        <f>Premissas!$B$5/60</f>
        <v/>
      </c>
      <c r="E41" s="3">
        <f>C41+D41</f>
        <v/>
      </c>
      <c r="F41" s="3">
        <f>B41-D41</f>
        <v/>
      </c>
    </row>
    <row r="42">
      <c r="A42" t="n">
        <v>39</v>
      </c>
      <c r="B42" s="3">
        <f>F41</f>
        <v/>
      </c>
      <c r="C42" s="3">
        <f>B42*Premissas!$B$11</f>
        <v/>
      </c>
      <c r="D42" s="3">
        <f>Premissas!$B$5/60</f>
        <v/>
      </c>
      <c r="E42" s="3">
        <f>C42+D42</f>
        <v/>
      </c>
      <c r="F42" s="3">
        <f>B42-D42</f>
        <v/>
      </c>
    </row>
    <row r="43">
      <c r="A43" t="n">
        <v>40</v>
      </c>
      <c r="B43" s="3">
        <f>F42</f>
        <v/>
      </c>
      <c r="C43" s="3">
        <f>B43*Premissas!$B$11</f>
        <v/>
      </c>
      <c r="D43" s="3">
        <f>Premissas!$B$5/60</f>
        <v/>
      </c>
      <c r="E43" s="3">
        <f>C43+D43</f>
        <v/>
      </c>
      <c r="F43" s="3">
        <f>B43-D43</f>
        <v/>
      </c>
    </row>
    <row r="44">
      <c r="A44" t="n">
        <v>41</v>
      </c>
      <c r="B44" s="3">
        <f>F43</f>
        <v/>
      </c>
      <c r="C44" s="3">
        <f>B44*Premissas!$B$11</f>
        <v/>
      </c>
      <c r="D44" s="3">
        <f>Premissas!$B$5/60</f>
        <v/>
      </c>
      <c r="E44" s="3">
        <f>C44+D44</f>
        <v/>
      </c>
      <c r="F44" s="3">
        <f>B44-D44</f>
        <v/>
      </c>
    </row>
    <row r="45">
      <c r="A45" t="n">
        <v>42</v>
      </c>
      <c r="B45" s="3">
        <f>F44</f>
        <v/>
      </c>
      <c r="C45" s="3">
        <f>B45*Premissas!$B$11</f>
        <v/>
      </c>
      <c r="D45" s="3">
        <f>Premissas!$B$5/60</f>
        <v/>
      </c>
      <c r="E45" s="3">
        <f>C45+D45</f>
        <v/>
      </c>
      <c r="F45" s="3">
        <f>B45-D45</f>
        <v/>
      </c>
    </row>
    <row r="46">
      <c r="A46" t="n">
        <v>43</v>
      </c>
      <c r="B46" s="3">
        <f>F45</f>
        <v/>
      </c>
      <c r="C46" s="3">
        <f>B46*Premissas!$B$11</f>
        <v/>
      </c>
      <c r="D46" s="3">
        <f>Premissas!$B$5/60</f>
        <v/>
      </c>
      <c r="E46" s="3">
        <f>C46+D46</f>
        <v/>
      </c>
      <c r="F46" s="3">
        <f>B46-D46</f>
        <v/>
      </c>
    </row>
    <row r="47">
      <c r="A47" t="n">
        <v>44</v>
      </c>
      <c r="B47" s="3">
        <f>F46</f>
        <v/>
      </c>
      <c r="C47" s="3">
        <f>B47*Premissas!$B$11</f>
        <v/>
      </c>
      <c r="D47" s="3">
        <f>Premissas!$B$5/60</f>
        <v/>
      </c>
      <c r="E47" s="3">
        <f>C47+D47</f>
        <v/>
      </c>
      <c r="F47" s="3">
        <f>B47-D47</f>
        <v/>
      </c>
    </row>
    <row r="48">
      <c r="A48" t="n">
        <v>45</v>
      </c>
      <c r="B48" s="3">
        <f>F47</f>
        <v/>
      </c>
      <c r="C48" s="3">
        <f>B48*Premissas!$B$11</f>
        <v/>
      </c>
      <c r="D48" s="3">
        <f>Premissas!$B$5/60</f>
        <v/>
      </c>
      <c r="E48" s="3">
        <f>C48+D48</f>
        <v/>
      </c>
      <c r="F48" s="3">
        <f>B48-D48</f>
        <v/>
      </c>
    </row>
    <row r="49">
      <c r="A49" t="n">
        <v>46</v>
      </c>
      <c r="B49" s="3">
        <f>F48</f>
        <v/>
      </c>
      <c r="C49" s="3">
        <f>B49*Premissas!$B$11</f>
        <v/>
      </c>
      <c r="D49" s="3">
        <f>Premissas!$B$5/60</f>
        <v/>
      </c>
      <c r="E49" s="3">
        <f>C49+D49</f>
        <v/>
      </c>
      <c r="F49" s="3">
        <f>B49-D49</f>
        <v/>
      </c>
    </row>
    <row r="50">
      <c r="A50" t="n">
        <v>47</v>
      </c>
      <c r="B50" s="3">
        <f>F49</f>
        <v/>
      </c>
      <c r="C50" s="3">
        <f>B50*Premissas!$B$11</f>
        <v/>
      </c>
      <c r="D50" s="3">
        <f>Premissas!$B$5/60</f>
        <v/>
      </c>
      <c r="E50" s="3">
        <f>C50+D50</f>
        <v/>
      </c>
      <c r="F50" s="3">
        <f>B50-D50</f>
        <v/>
      </c>
    </row>
    <row r="51">
      <c r="A51" t="n">
        <v>48</v>
      </c>
      <c r="B51" s="3">
        <f>F50</f>
        <v/>
      </c>
      <c r="C51" s="3">
        <f>B51*Premissas!$B$11</f>
        <v/>
      </c>
      <c r="D51" s="3">
        <f>Premissas!$B$5/60</f>
        <v/>
      </c>
      <c r="E51" s="3">
        <f>C51+D51</f>
        <v/>
      </c>
      <c r="F51" s="3">
        <f>B51-D51</f>
        <v/>
      </c>
    </row>
    <row r="52">
      <c r="A52" t="n">
        <v>49</v>
      </c>
      <c r="B52" s="3">
        <f>F51</f>
        <v/>
      </c>
      <c r="C52" s="3">
        <f>B52*Premissas!$B$11</f>
        <v/>
      </c>
      <c r="D52" s="3">
        <f>Premissas!$B$5/60</f>
        <v/>
      </c>
      <c r="E52" s="3">
        <f>C52+D52</f>
        <v/>
      </c>
      <c r="F52" s="3">
        <f>B52-D52</f>
        <v/>
      </c>
    </row>
    <row r="53">
      <c r="A53" t="n">
        <v>50</v>
      </c>
      <c r="B53" s="3">
        <f>F52</f>
        <v/>
      </c>
      <c r="C53" s="3">
        <f>B53*Premissas!$B$11</f>
        <v/>
      </c>
      <c r="D53" s="3">
        <f>Premissas!$B$5/60</f>
        <v/>
      </c>
      <c r="E53" s="3">
        <f>C53+D53</f>
        <v/>
      </c>
      <c r="F53" s="3">
        <f>B53-D53</f>
        <v/>
      </c>
    </row>
    <row r="54">
      <c r="A54" t="n">
        <v>51</v>
      </c>
      <c r="B54" s="3">
        <f>F53</f>
        <v/>
      </c>
      <c r="C54" s="3">
        <f>B54*Premissas!$B$11</f>
        <v/>
      </c>
      <c r="D54" s="3">
        <f>Premissas!$B$5/60</f>
        <v/>
      </c>
      <c r="E54" s="3">
        <f>C54+D54</f>
        <v/>
      </c>
      <c r="F54" s="3">
        <f>B54-D54</f>
        <v/>
      </c>
    </row>
    <row r="55">
      <c r="A55" t="n">
        <v>52</v>
      </c>
      <c r="B55" s="3">
        <f>F54</f>
        <v/>
      </c>
      <c r="C55" s="3">
        <f>B55*Premissas!$B$11</f>
        <v/>
      </c>
      <c r="D55" s="3">
        <f>Premissas!$B$5/60</f>
        <v/>
      </c>
      <c r="E55" s="3">
        <f>C55+D55</f>
        <v/>
      </c>
      <c r="F55" s="3">
        <f>B55-D55</f>
        <v/>
      </c>
    </row>
    <row r="56">
      <c r="A56" t="n">
        <v>53</v>
      </c>
      <c r="B56" s="3">
        <f>F55</f>
        <v/>
      </c>
      <c r="C56" s="3">
        <f>B56*Premissas!$B$11</f>
        <v/>
      </c>
      <c r="D56" s="3">
        <f>Premissas!$B$5/60</f>
        <v/>
      </c>
      <c r="E56" s="3">
        <f>C56+D56</f>
        <v/>
      </c>
      <c r="F56" s="3">
        <f>B56-D56</f>
        <v/>
      </c>
    </row>
    <row r="57">
      <c r="A57" t="n">
        <v>54</v>
      </c>
      <c r="B57" s="3">
        <f>F56</f>
        <v/>
      </c>
      <c r="C57" s="3">
        <f>B57*Premissas!$B$11</f>
        <v/>
      </c>
      <c r="D57" s="3">
        <f>Premissas!$B$5/60</f>
        <v/>
      </c>
      <c r="E57" s="3">
        <f>C57+D57</f>
        <v/>
      </c>
      <c r="F57" s="3">
        <f>B57-D57</f>
        <v/>
      </c>
    </row>
    <row r="58">
      <c r="A58" t="n">
        <v>55</v>
      </c>
      <c r="B58" s="3">
        <f>F57</f>
        <v/>
      </c>
      <c r="C58" s="3">
        <f>B58*Premissas!$B$11</f>
        <v/>
      </c>
      <c r="D58" s="3">
        <f>Premissas!$B$5/60</f>
        <v/>
      </c>
      <c r="E58" s="3">
        <f>C58+D58</f>
        <v/>
      </c>
      <c r="F58" s="3">
        <f>B58-D58</f>
        <v/>
      </c>
    </row>
    <row r="59">
      <c r="A59" t="n">
        <v>56</v>
      </c>
      <c r="B59" s="3">
        <f>F58</f>
        <v/>
      </c>
      <c r="C59" s="3">
        <f>B59*Premissas!$B$11</f>
        <v/>
      </c>
      <c r="D59" s="3">
        <f>Premissas!$B$5/60</f>
        <v/>
      </c>
      <c r="E59" s="3">
        <f>C59+D59</f>
        <v/>
      </c>
      <c r="F59" s="3">
        <f>B59-D59</f>
        <v/>
      </c>
    </row>
    <row r="60">
      <c r="A60" t="n">
        <v>57</v>
      </c>
      <c r="B60" s="3">
        <f>F59</f>
        <v/>
      </c>
      <c r="C60" s="3">
        <f>B60*Premissas!$B$11</f>
        <v/>
      </c>
      <c r="D60" s="3">
        <f>Premissas!$B$5/60</f>
        <v/>
      </c>
      <c r="E60" s="3">
        <f>C60+D60</f>
        <v/>
      </c>
      <c r="F60" s="3">
        <f>B60-D60</f>
        <v/>
      </c>
    </row>
    <row r="61">
      <c r="A61" t="n">
        <v>58</v>
      </c>
      <c r="B61" s="3">
        <f>F60</f>
        <v/>
      </c>
      <c r="C61" s="3">
        <f>B61*Premissas!$B$11</f>
        <v/>
      </c>
      <c r="D61" s="3">
        <f>Premissas!$B$5/60</f>
        <v/>
      </c>
      <c r="E61" s="3">
        <f>C61+D61</f>
        <v/>
      </c>
      <c r="F61" s="3">
        <f>B61-D61</f>
        <v/>
      </c>
    </row>
    <row r="62">
      <c r="A62" t="n">
        <v>59</v>
      </c>
      <c r="B62" s="3">
        <f>F61</f>
        <v/>
      </c>
      <c r="C62" s="3">
        <f>B62*Premissas!$B$11</f>
        <v/>
      </c>
      <c r="D62" s="3">
        <f>Premissas!$B$5/60</f>
        <v/>
      </c>
      <c r="E62" s="3">
        <f>C62+D62</f>
        <v/>
      </c>
      <c r="F62" s="3">
        <f>B62-D62</f>
        <v/>
      </c>
    </row>
    <row r="63">
      <c r="A63" t="n">
        <v>60</v>
      </c>
      <c r="B63" s="3">
        <f>F62</f>
        <v/>
      </c>
      <c r="C63" s="3">
        <f>B63*Premissas!$B$11</f>
        <v/>
      </c>
      <c r="D63" s="3">
        <f>Premissas!$B$5/60</f>
        <v/>
      </c>
      <c r="E63" s="3">
        <f>C63+D63</f>
        <v/>
      </c>
      <c r="F63" s="3">
        <f>B63-D63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Q2 — QUANTO CUSTA CADA OPÇÃO (R$ mil)</t>
        </is>
      </c>
    </row>
    <row r="3">
      <c r="A3" s="7" t="inlineStr">
        <is>
          <t>Opção</t>
        </is>
      </c>
      <c r="B3" s="7" t="inlineStr">
        <is>
          <t>Total nominal pago</t>
        </is>
      </c>
      <c r="C3" s="7" t="inlineStr">
        <is>
          <t>Custo (juros/prêmio)</t>
        </is>
      </c>
      <c r="D3" s="7" t="inlineStr">
        <is>
          <t>Caixa ano 1</t>
        </is>
      </c>
      <c r="E3" s="7" t="inlineStr">
        <is>
          <t>VP do custo @Ku</t>
        </is>
      </c>
      <c r="F3" s="7" t="inlineStr">
        <is>
          <t>VP por R$ captado</t>
        </is>
      </c>
    </row>
    <row r="4">
      <c r="A4" t="inlineStr">
        <is>
          <t>Debênture (bullet)</t>
        </is>
      </c>
      <c r="B4" s="3">
        <f>70*5+Premissas!B5</f>
        <v/>
      </c>
      <c r="C4" s="3" t="n">
        <v>350</v>
      </c>
      <c r="D4" s="3" t="n">
        <v>70</v>
      </c>
      <c r="E4" s="3">
        <f>70/(1+Premissas!B7)^1+70/(1+Premissas!B7)^2+70/(1+Premissas!B7)^3+70/(1+Premissas!B7)^4+(70+Premissas!B5)/(1+Premissas!B7)^5</f>
        <v/>
      </c>
      <c r="F4" s="11">
        <f>E4/Premissas!B5</f>
        <v/>
      </c>
    </row>
    <row r="5">
      <c r="A5" t="inlineStr">
        <is>
          <t>Price</t>
        </is>
      </c>
      <c r="B5" s="3">
        <f>Amort_Price!I5</f>
        <v/>
      </c>
      <c r="C5" s="3">
        <f>Amort_Price!I6</f>
        <v/>
      </c>
      <c r="D5" s="3">
        <f>Amort_Price!I4</f>
        <v/>
      </c>
      <c r="E5" s="3">
        <f>Amort_Price!I7</f>
        <v/>
      </c>
      <c r="F5" s="11">
        <f>E5/Premissas!B5</f>
        <v/>
      </c>
    </row>
    <row r="6">
      <c r="A6" t="inlineStr">
        <is>
          <t>SAC</t>
        </is>
      </c>
      <c r="B6" s="3">
        <f>Amort_SAC!I6</f>
        <v/>
      </c>
      <c r="C6" s="3">
        <f>Amort_SAC!I7</f>
        <v/>
      </c>
      <c r="D6" s="3">
        <f>Amort_SAC!I5</f>
        <v/>
      </c>
      <c r="E6" s="3">
        <f>Amort_SAC!I8</f>
        <v/>
      </c>
      <c r="F6" s="11">
        <f>E6/Premissas!B5</f>
        <v/>
      </c>
    </row>
    <row r="7">
      <c r="A7" t="inlineStr">
        <is>
          <t>Anjo (equity 20%)</t>
        </is>
      </c>
      <c r="B7" t="inlineStr">
        <is>
          <t>20% equity</t>
        </is>
      </c>
      <c r="C7" s="3">
        <f>Premissas!B5*(1+Premissas!B14)^5-Premissas!B5</f>
        <v/>
      </c>
      <c r="D7" s="3" t="n">
        <v>0</v>
      </c>
      <c r="E7" s="3">
        <f>Premissas!B5*(1+Premissas!B14)^5/(1+Premissas!B7)^5</f>
        <v/>
      </c>
      <c r="F7" s="11">
        <f>E7/Premissas!B5</f>
        <v/>
      </c>
    </row>
    <row r="9">
      <c r="A9" t="inlineStr">
        <is>
          <t>Ranking VP: Debênture &lt; Price &lt; SAC &lt; Anjo. Debênture paga MAIS juro nominal mas é a mais barata em VP (inversão).</t>
        </is>
      </c>
    </row>
    <row r="10">
      <c r="A10" t="inlineStr">
        <is>
          <t>Anjo: VP é o piso (cenário-base). Na expansão a empresa vale mais e o custo do anjo dispara.</t>
        </is>
      </c>
    </row>
    <row r="12">
      <c r="A12" s="2" t="inlineStr">
        <is>
          <t>PERFIL DE CAIXA ANUAL (R$ mil)</t>
        </is>
      </c>
    </row>
    <row r="13">
      <c r="A13" s="7" t="inlineStr">
        <is>
          <t>Ano</t>
        </is>
      </c>
      <c r="B13" s="7" t="inlineStr">
        <is>
          <t>Price</t>
        </is>
      </c>
      <c r="C13" s="7" t="inlineStr">
        <is>
          <t>SAC</t>
        </is>
      </c>
      <c r="D13" s="7" t="inlineStr">
        <is>
          <t>Debênture</t>
        </is>
      </c>
      <c r="E13" s="7" t="inlineStr">
        <is>
          <t>Anjo</t>
        </is>
      </c>
    </row>
    <row r="14">
      <c r="A14" t="n">
        <v>1</v>
      </c>
      <c r="B14" s="3">
        <f>SUM(Amort_Price!E4:E15)</f>
        <v/>
      </c>
      <c r="C14" s="3">
        <f>SUM(Amort_SAC!E4:E15)</f>
        <v/>
      </c>
      <c r="D14" s="3" t="n">
        <v>70</v>
      </c>
      <c r="E14" s="3" t="n">
        <v>0</v>
      </c>
    </row>
    <row r="15">
      <c r="A15" t="n">
        <v>2</v>
      </c>
      <c r="B15" s="3">
        <f>SUM(Amort_Price!E16:E27)</f>
        <v/>
      </c>
      <c r="C15" s="3">
        <f>SUM(Amort_SAC!E16:E27)</f>
        <v/>
      </c>
      <c r="D15" s="3" t="n">
        <v>70</v>
      </c>
      <c r="E15" s="3" t="n">
        <v>0</v>
      </c>
    </row>
    <row r="16">
      <c r="A16" t="n">
        <v>3</v>
      </c>
      <c r="B16" s="3">
        <f>SUM(Amort_Price!E28:E39)</f>
        <v/>
      </c>
      <c r="C16" s="3">
        <f>SUM(Amort_SAC!E28:E39)</f>
        <v/>
      </c>
      <c r="D16" s="3" t="n">
        <v>70</v>
      </c>
      <c r="E16" s="3" t="n">
        <v>0</v>
      </c>
    </row>
    <row r="17">
      <c r="A17" t="n">
        <v>4</v>
      </c>
      <c r="B17" s="3">
        <f>SUM(Amort_Price!E40:E51)</f>
        <v/>
      </c>
      <c r="C17" s="3">
        <f>SUM(Amort_SAC!E40:E51)</f>
        <v/>
      </c>
      <c r="D17" s="3" t="n">
        <v>70</v>
      </c>
      <c r="E17" s="3" t="n">
        <v>0</v>
      </c>
    </row>
    <row r="18">
      <c r="A18" t="n">
        <v>5</v>
      </c>
      <c r="B18" s="3">
        <f>SUM(Amort_Price!E52:E63)</f>
        <v/>
      </c>
      <c r="C18" s="3">
        <f>SUM(Amort_SAC!E52:E63)</f>
        <v/>
      </c>
      <c r="D18" s="3">
        <f>70+Premissas!B5</f>
        <v/>
      </c>
      <c r="E18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Q3-Q5 — RECOMENDAÇÃO, CENÁRIOS, PREMISSA CRÍTICA</t>
        </is>
      </c>
    </row>
    <row r="2">
      <c r="A2" t="inlineStr"/>
    </row>
    <row r="3">
      <c r="A3" s="2" t="inlineStr">
        <is>
          <t>EIXO DA DECISÃO (debate convergido): Price vs Anjo. Debênture e SAC descartados.</t>
        </is>
      </c>
    </row>
    <row r="4">
      <c r="A4" t="inlineStr">
        <is>
          <t xml:space="preserve">  • Debênture: mais barata em VP, mas reintroduz risco de cauda (bullet 770k em 2031) — o feature que a Q3 pede pra evitar.</t>
        </is>
      </c>
    </row>
    <row r="5">
      <c r="A5" t="inlineStr">
        <is>
          <t xml:space="preserve">  • SAC: dominado pela Price (mais pesado no ano frágil, VP maior).</t>
        </is>
      </c>
    </row>
    <row r="6">
      <c r="A6" t="inlineStr"/>
    </row>
    <row r="7">
      <c r="A7" s="2" t="inlineStr">
        <is>
          <t>Q3 — RECOMENDAÇÃO (duas opções defensáveis):</t>
        </is>
      </c>
    </row>
    <row r="8">
      <c r="A8" s="12" t="inlineStr">
        <is>
          <t xml:space="preserve">  OPÇÃO A — PRICE: se a empresa tem QUALQUER folga de caixa operacional.</t>
        </is>
      </c>
    </row>
    <row r="9">
      <c r="A9" t="inlineStr">
        <is>
          <t xml:space="preserve">     Por quê: dívida mais barata que preserva 100% do equity, elimina o bullet, parcela fixa de ~187k/ano.</t>
        </is>
      </c>
    </row>
    <row r="10">
      <c r="A10" t="inlineStr">
        <is>
          <t xml:space="preserve">     Risco que aceito: obrigação rígida; se um cliente sai E o projeto atrasa, 187k/ano aperta o caixa.</t>
        </is>
      </c>
    </row>
    <row r="11">
      <c r="A11" t="inlineStr"/>
    </row>
    <row r="12">
      <c r="A12" s="12" t="inlineStr">
        <is>
          <t xml:space="preserve">  OPÇÃO B — ANJO: se a estrutura de custos é pesada (15 engenheiros fixos; sócios aportaram 800k e só restam 300k).</t>
        </is>
      </c>
    </row>
    <row r="13">
      <c r="A13" t="inlineStr">
        <is>
          <t xml:space="preserve">     Por quê: zero obrigação; única estrutura que sobrevive ao estado em que nem a parcela da Price se paga.</t>
        </is>
      </c>
    </row>
    <row r="14">
      <c r="A14" t="inlineStr">
        <is>
          <t xml:space="preserve">     Risco que aceito: o mais caro no sucesso (cede 20% do upside, que é 70-79% do valor) — 'arrependimento de sucesso'.</t>
        </is>
      </c>
    </row>
    <row r="15">
      <c r="A15" t="inlineStr"/>
    </row>
    <row r="16">
      <c r="A16" t="inlineStr">
        <is>
          <t xml:space="preserve">  O QUE OS SEPARA: a largura da faixa 'nem a Price se serve'. É função da estrutura de custos, que o case não dá em número.</t>
        </is>
      </c>
    </row>
    <row r="17">
      <c r="A17" t="inlineStr">
        <is>
          <t xml:space="preserve">  Caixa folgado -&gt; A (Price). Caixa frágil (2 clientes + custo fixo alto) -&gt; B (Anjo).</t>
        </is>
      </c>
    </row>
    <row r="18">
      <c r="A18" t="inlineStr"/>
    </row>
    <row r="19">
      <c r="A19" s="2" t="inlineStr">
        <is>
          <t>Q4 — COMO A RECOMENDAÇÃO SE COMPORTA:</t>
        </is>
      </c>
    </row>
    <row r="20">
      <c r="A20" t="inlineStr">
        <is>
          <t xml:space="preserve">  Contração (metade): projeto+negócio existente cobrem a Price/cupom; bullet da debênture ficaria descoberto (por isso fora). Anjo passa folgado.</t>
        </is>
      </c>
    </row>
    <row r="21">
      <c r="A21" t="inlineStr">
        <is>
          <t xml:space="preserve">  Expansão (+50%): dívida (Price) custo FIXO, fundadores ficam com todo o upside. Anjo vira o mais caro de longe.</t>
        </is>
      </c>
    </row>
    <row r="22">
      <c r="A22" t="inlineStr">
        <is>
          <t xml:space="preserve">  Inflação alta (7%): custo REAL da dívida nominal cai (Fisher); anjo (equity) não é corroído -&gt; dívida favorecida.</t>
        </is>
      </c>
    </row>
    <row r="23">
      <c r="A23" t="inlineStr"/>
    </row>
    <row r="24">
      <c r="A24" s="2" t="inlineStr">
        <is>
          <t>Q5 — PREMISSA CRÍTICA E PLANO B:</t>
        </is>
      </c>
    </row>
    <row r="25">
      <c r="A25" t="inlineStr">
        <is>
          <t xml:space="preserve">  Premissa crítica: P(perder 1 dos 2 clientes E projeto falhar, correlacionados nos anos 1-2). É o eixo que decide A vs B.</t>
        </is>
      </c>
    </row>
    <row r="26">
      <c r="A26" t="inlineStr">
        <is>
          <t xml:space="preserve">  Plano B (se escolher A/Price): negócio existente + caixa do projeto servem a dívida; se choque cedo, captar equity (anjo) como backstop.</t>
        </is>
      </c>
    </row>
    <row r="27">
      <c r="A27" t="inlineStr">
        <is>
          <t xml:space="preserve">  Plano B (se escolher B/Anjo): nenhuma obrigação a honrar; se projeto dispara, recomprar participação ou conviver com a diluição.</t>
        </is>
      </c>
    </row>
    <row r="28">
      <c r="A28" t="inlineStr"/>
    </row>
    <row r="29">
      <c r="A29" s="2" t="inlineStr">
        <is>
          <t>NOTA: a dívida se paga com CAIXA LIVRE, não receita. Com 2 clientes + custo fixo, perder 1 pode zerar o caixa livre — é o nó do debate.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2026-06-01T13:03:25Z</dcterms:created>
  <dcterms:modified xmlns:dcterms="http://purl.org/dc/terms/" xmlns:xsi="http://www.w3.org/2001/XMLSchema-instance" xsi:type="dcterms:W3CDTF">2026-06-01T13:03:25Z</dcterms:modified>
</cp:coreProperties>
</file>