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malucelli/Downloads/"/>
    </mc:Choice>
  </mc:AlternateContent>
  <xr:revisionPtr revIDLastSave="0" documentId="8_{28B35108-A14D-0F42-8E48-024B6DB82FE6}" xr6:coauthVersionLast="47" xr6:coauthVersionMax="47" xr10:uidLastSave="{00000000-0000-0000-0000-000000000000}"/>
  <bookViews>
    <workbookView xWindow="0" yWindow="660" windowWidth="30240" windowHeight="17480" xr2:uid="{A3A10DF1-4FA3-0949-9656-952D1482CF29}"/>
  </bookViews>
  <sheets>
    <sheet name="Cur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K3" i="1"/>
  <c r="J3" i="1"/>
  <c r="I3" i="1" a="1"/>
  <c r="I3" i="1" s="1"/>
  <c r="H3" i="1" a="1"/>
  <c r="H3" i="1" s="1"/>
  <c r="F3" i="1"/>
  <c r="G3" i="1" s="1"/>
  <c r="H43" i="1"/>
  <c r="H44" i="1"/>
  <c r="H45" i="1"/>
  <c r="H46" i="1"/>
  <c r="H47" i="1"/>
  <c r="H48" i="1"/>
  <c r="H49" i="1"/>
  <c r="H50" i="1"/>
  <c r="H42" i="1"/>
  <c r="I43" i="1"/>
  <c r="I44" i="1"/>
  <c r="I45" i="1"/>
  <c r="I46" i="1"/>
  <c r="I47" i="1"/>
  <c r="I48" i="1"/>
  <c r="I49" i="1"/>
  <c r="I50" i="1"/>
  <c r="G43" i="1"/>
  <c r="G44" i="1"/>
  <c r="G45" i="1"/>
  <c r="G46" i="1"/>
  <c r="G47" i="1"/>
  <c r="G48" i="1"/>
  <c r="G49" i="1"/>
  <c r="G50" i="1"/>
  <c r="G42" i="1"/>
  <c r="H34" i="1" a="1"/>
  <c r="H34" i="1" s="1"/>
  <c r="L19" i="1"/>
  <c r="L20" i="1"/>
  <c r="L21" i="1"/>
  <c r="L22" i="1"/>
  <c r="L23" i="1"/>
  <c r="L24" i="1"/>
  <c r="L25" i="1"/>
  <c r="L26" i="1"/>
  <c r="L27" i="1"/>
  <c r="K19" i="1"/>
  <c r="K20" i="1"/>
  <c r="K21" i="1"/>
  <c r="K22" i="1"/>
  <c r="K23" i="1"/>
  <c r="K24" i="1"/>
  <c r="K25" i="1"/>
  <c r="K26" i="1"/>
  <c r="K27" i="1"/>
  <c r="J19" i="1"/>
  <c r="J20" i="1"/>
  <c r="J21" i="1"/>
  <c r="J22" i="1"/>
  <c r="J23" i="1"/>
  <c r="J24" i="1"/>
  <c r="J25" i="1"/>
  <c r="J26" i="1"/>
  <c r="J27" i="1"/>
  <c r="J18" i="1"/>
  <c r="H19" i="1"/>
  <c r="H20" i="1"/>
  <c r="H21" i="1"/>
  <c r="H22" i="1"/>
  <c r="H23" i="1"/>
  <c r="H24" i="1"/>
  <c r="H25" i="1"/>
  <c r="H26" i="1"/>
  <c r="H27" i="1"/>
  <c r="H18" i="1"/>
  <c r="G30" i="1"/>
  <c r="M4" i="1"/>
  <c r="M5" i="1"/>
  <c r="M6" i="1"/>
  <c r="M7" i="1"/>
  <c r="N7" i="1" s="1"/>
  <c r="M8" i="1"/>
  <c r="M9" i="1"/>
  <c r="M10" i="1"/>
  <c r="M11" i="1"/>
  <c r="N11" i="1" s="1"/>
  <c r="M12" i="1"/>
  <c r="N4" i="1"/>
  <c r="N5" i="1"/>
  <c r="N6" i="1"/>
  <c r="N8" i="1"/>
  <c r="N9" i="1"/>
  <c r="N10" i="1"/>
  <c r="N12" i="1"/>
  <c r="L4" i="1"/>
  <c r="L5" i="1"/>
  <c r="L6" i="1"/>
  <c r="L7" i="1"/>
  <c r="L8" i="1"/>
  <c r="L9" i="1"/>
  <c r="L10" i="1"/>
  <c r="L11" i="1"/>
  <c r="L12" i="1"/>
  <c r="K9" i="1"/>
  <c r="K4" i="1"/>
  <c r="I4" i="1" a="1"/>
  <c r="I4" i="1" s="1"/>
  <c r="K5" i="1"/>
  <c r="K6" i="1"/>
  <c r="K7" i="1"/>
  <c r="K8" i="1"/>
  <c r="K10" i="1"/>
  <c r="K11" i="1"/>
  <c r="K12" i="1"/>
  <c r="J12" i="1"/>
  <c r="J11" i="1"/>
  <c r="J10" i="1"/>
  <c r="J9" i="1"/>
  <c r="J8" i="1"/>
  <c r="J7" i="1"/>
  <c r="J6" i="1"/>
  <c r="J5" i="1"/>
  <c r="J4" i="1"/>
  <c r="H4" i="1" a="1"/>
  <c r="H4" i="1" s="1"/>
  <c r="I7" i="1" a="1"/>
  <c r="I7" i="1" s="1"/>
  <c r="I6" i="1" a="1"/>
  <c r="I6" i="1" s="1"/>
  <c r="I5" i="1" a="1"/>
  <c r="I5" i="1" s="1"/>
  <c r="I8" i="1" a="1"/>
  <c r="I8" i="1"/>
  <c r="I9" i="1" a="1"/>
  <c r="I9" i="1"/>
  <c r="I10" i="1" a="1"/>
  <c r="I10" i="1"/>
  <c r="I11" i="1" a="1"/>
  <c r="I11" i="1"/>
  <c r="I12" i="1" a="1"/>
  <c r="I12" i="1"/>
  <c r="G12" i="1"/>
  <c r="G11" i="1"/>
  <c r="G10" i="1"/>
  <c r="G9" i="1"/>
  <c r="G8" i="1"/>
  <c r="G7" i="1"/>
  <c r="G6" i="1"/>
  <c r="G5" i="1"/>
  <c r="G4" i="1"/>
  <c r="H5" i="1" a="1"/>
  <c r="H5" i="1" s="1"/>
  <c r="H6" i="1" a="1"/>
  <c r="H6" i="1" s="1"/>
  <c r="H7" i="1" a="1"/>
  <c r="H7" i="1"/>
  <c r="H8" i="1" a="1"/>
  <c r="H8" i="1" s="1"/>
  <c r="H9" i="1" a="1"/>
  <c r="H9" i="1" s="1"/>
  <c r="H10" i="1" a="1"/>
  <c r="H10" i="1"/>
  <c r="H11" i="1" a="1"/>
  <c r="H11" i="1"/>
  <c r="H12" i="1" a="1"/>
  <c r="H12" i="1" s="1"/>
  <c r="F4" i="1"/>
  <c r="F5" i="1"/>
  <c r="F6" i="1"/>
  <c r="F7" i="1"/>
  <c r="F8" i="1"/>
  <c r="F9" i="1"/>
  <c r="F10" i="1"/>
  <c r="F11" i="1"/>
  <c r="F12" i="1"/>
  <c r="J50" i="1" l="1"/>
  <c r="N3" i="1"/>
  <c r="K18" i="1" s="1"/>
  <c r="J47" i="1"/>
  <c r="J46" i="1"/>
  <c r="J43" i="1"/>
  <c r="J45" i="1"/>
  <c r="J44" i="1"/>
  <c r="J49" i="1"/>
  <c r="J48" i="1"/>
  <c r="H55" i="1" a="1"/>
  <c r="H55" i="1" s="1"/>
  <c r="I42" i="1" l="1"/>
  <c r="J42" i="1" s="1"/>
  <c r="J51" i="1" s="1"/>
  <c r="G55" i="1" s="1"/>
  <c r="G56" i="1" s="1"/>
  <c r="G57" i="1" s="1"/>
  <c r="Q5" i="1" s="1"/>
  <c r="L18" i="1"/>
  <c r="L28" i="1" s="1"/>
  <c r="G34" i="1" l="1"/>
  <c r="G36" i="1" s="1"/>
  <c r="Q3" i="1" s="1"/>
  <c r="Q2" i="1"/>
  <c r="F59" i="1"/>
  <c r="Q4" i="1"/>
  <c r="Q6" i="1"/>
  <c r="F60" i="1"/>
  <c r="Q7" i="1" s="1"/>
  <c r="G37" i="1" l="1"/>
  <c r="R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<sst xmlns="http://schemas.openxmlformats.org/spreadsheetml/2006/main" count="336" uniqueCount="51">
  <si>
    <t>DescriÁ„o da Taxa</t>
  </si>
  <si>
    <t>Dias ⁄teis</t>
  </si>
  <si>
    <t>PreÁo/Taxa</t>
  </si>
  <si>
    <t>DI x prÈ</t>
  </si>
  <si>
    <t>Sem</t>
  </si>
  <si>
    <t>du</t>
  </si>
  <si>
    <t>Cupom</t>
  </si>
  <si>
    <t>Amortização</t>
  </si>
  <si>
    <t>Taxa corp</t>
  </si>
  <si>
    <t>Saldo Dev</t>
  </si>
  <si>
    <t>CashFlow</t>
  </si>
  <si>
    <t>VP</t>
  </si>
  <si>
    <t>FC</t>
  </si>
  <si>
    <t>YTM Anual</t>
  </si>
  <si>
    <t>Interpol</t>
  </si>
  <si>
    <t>Posicao Baixo</t>
  </si>
  <si>
    <t>Posicao Alto</t>
  </si>
  <si>
    <t>Baixo</t>
  </si>
  <si>
    <t>Alto</t>
  </si>
  <si>
    <t>Taxa Baixo</t>
  </si>
  <si>
    <t>Taxa Alto</t>
  </si>
  <si>
    <t>Taxa</t>
  </si>
  <si>
    <t>Taxa Corp</t>
  </si>
  <si>
    <t>Cupom Anual</t>
  </si>
  <si>
    <t>Cupom Semestral</t>
  </si>
  <si>
    <t>TOTAL</t>
  </si>
  <si>
    <t>YTM Sem</t>
  </si>
  <si>
    <t>Preco de Venda</t>
  </si>
  <si>
    <t>Sem Orig</t>
  </si>
  <si>
    <t>Sem Venda</t>
  </si>
  <si>
    <t>D.u da Venda</t>
  </si>
  <si>
    <t>Cash Flow</t>
  </si>
  <si>
    <t>P de Venda</t>
  </si>
  <si>
    <t>7)</t>
  </si>
  <si>
    <t>Curva DI x PRÉ é livre de risco. Bond corporativo tem risco de default, exige prêmio. +50 bps embute esse risco. Sem spread, preço superestimado.</t>
  </si>
  <si>
    <t>8)</t>
  </si>
  <si>
    <t>9)</t>
  </si>
  <si>
    <t>10)</t>
  </si>
  <si>
    <t>11)</t>
  </si>
  <si>
    <t>YTM é output, não input. Curva tem inclinação, cada prazo tem taxa diferente. Descontar tudo por uma taxa só ignora isso. YTM se calcula depois, como TIR.</t>
  </si>
  <si>
    <t>Não. YTM é média ponderada das taxas spot por VP dos CFs. Taxa de 5a só desconta o último fluxo. Só seriam iguais se curva fosse flat ou bond zero cupom.</t>
  </si>
  <si>
    <t>YTM assume hold-to-maturity e reinvestimento na própria YTM. Vendeu no semestre 1 com curva -100 bps: P_venda sobe, ganho de capital extra, realizado &gt; YTM. Curva subindo seria o oposto.</t>
  </si>
  <si>
    <t>1)</t>
  </si>
  <si>
    <t>2)</t>
  </si>
  <si>
    <t>3)</t>
  </si>
  <si>
    <t>4)</t>
  </si>
  <si>
    <t>5)</t>
  </si>
  <si>
    <t>6)</t>
  </si>
  <si>
    <t> Sobe. Variação percentual do preço é aproximadamente menos a duracao vezes a variação da taxa. Duration em torno de 4 anos, taxa cai 1%, preço sobe mais ou menos 4%</t>
  </si>
  <si>
    <t>Retorno</t>
  </si>
  <si>
    <t>Retorno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</si>
</sst>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.0%"/>
    <numFmt numFmtId="165" formatCode="0.000%"/>
    <numFmt numFmtId="166" formatCode="0.000"/>
    <numFmt numFmtId="167" formatCode="0.000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9" fontId="0" fillId="0" borderId="0" xfId="0" applyNumberFormat="1"/>
    <xf numFmtId="10" fontId="0" fillId="0" borderId="0" xfId="1" applyNumberFormat="1" applyFont="1"/>
    <xf numFmtId="8" fontId="0" fillId="0" borderId="0" xfId="0" applyNumberFormat="1"/>
    <xf numFmtId="165" fontId="0" fillId="0" borderId="0" xfId="0" applyNumberFormat="1"/>
    <xf numFmtId="0" fontId="0" fillId="0" borderId="10" xfId="0" applyBorder="1"/>
    <xf numFmtId="10" fontId="0" fillId="0" borderId="10" xfId="1" applyNumberFormat="1" applyFont="1" applyBorder="1"/>
    <xf numFmtId="8" fontId="0" fillId="0" borderId="10" xfId="0" applyNumberFormat="1" applyBorder="1"/>
    <xf numFmtId="0" fontId="0" fillId="33" borderId="10" xfId="0" applyFill="1" applyBorder="1"/>
    <xf numFmtId="10" fontId="0" fillId="0" borderId="10" xfId="0" applyNumberFormat="1" applyBorder="1"/>
    <xf numFmtId="166" fontId="0" fillId="0" borderId="10" xfId="0" applyNumberFormat="1" applyBorder="1"/>
    <xf numFmtId="0" fontId="0" fillId="34" borderId="10" xfId="0" applyFill="1" applyBorder="1"/>
    <xf numFmtId="164" fontId="0" fillId="0" borderId="10" xfId="1" applyNumberFormat="1" applyFont="1" applyBorder="1"/>
    <xf numFmtId="10" fontId="0" fillId="0" borderId="0" xfId="0" applyNumberFormat="1"/>
    <xf numFmtId="0" fontId="18" fillId="0" borderId="0" xfId="0" applyFont="1"/>
    <xf numFmtId="8" fontId="18" fillId="0" borderId="10" xfId="0" applyNumberFormat="1" applyFont="1" applyBorder="1"/>
    <xf numFmtId="165" fontId="0" fillId="0" borderId="10" xfId="0" applyNumberFormat="1" applyBorder="1"/>
    <xf numFmtId="164" fontId="0" fillId="0" borderId="14" xfId="0" applyNumberFormat="1" applyBorder="1"/>
    <xf numFmtId="8" fontId="18" fillId="0" borderId="0" xfId="0" applyNumberFormat="1" applyFont="1"/>
    <xf numFmtId="164" fontId="0" fillId="0" borderId="0" xfId="0" applyNumberFormat="1"/>
    <xf numFmtId="167" fontId="0" fillId="0" borderId="10" xfId="1" applyNumberFormat="1" applyFont="1" applyBorder="1"/>
    <xf numFmtId="167" fontId="0" fillId="0" borderId="10" xfId="0" applyNumberFormat="1" applyBorder="1"/>
    <xf numFmtId="10" fontId="0" fillId="0" borderId="0" xfId="1" applyNumberFormat="1" applyFont="1" applyFill="1" applyBorder="1"/>
    <xf numFmtId="0" fontId="18" fillId="0" borderId="0" xfId="0" applyFont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FA91-5AE0-FA45-9BAE-797F11E0D6F4}">
  <dimension ref="A1:AF279"/>
  <sheetViews>
    <sheetView tabSelected="1" zoomScale="88" workbookViewId="0">
      <selection activeCell="I20" sqref="I20"/>
    </sheetView>
  </sheetViews>
  <sheetFormatPr baseColWidth="10" defaultRowHeight="16" x14ac:dyDescent="0.2"/>
  <cols>
    <col min="5" max="5" width="13.1640625" bestFit="1" customWidth="1"/>
    <col min="6" max="6" width="15.6640625" bestFit="1" customWidth="1"/>
  </cols>
  <sheetData>
    <row r="1" spans="1:32" x14ac:dyDescent="0.2">
      <c r="A1" t="s">
        <v>0</v>
      </c>
      <c r="B1" t="s">
        <v>1</v>
      </c>
      <c r="C1" t="s">
        <v>2</v>
      </c>
    </row>
    <row r="2" spans="1:32" x14ac:dyDescent="0.2">
      <c r="A2" t="s">
        <v>3</v>
      </c>
      <c r="B2">
        <v>1</v>
      </c>
      <c r="C2">
        <v>14.65</v>
      </c>
      <c r="E2" s="11" t="s">
        <v>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14</v>
      </c>
      <c r="M2" s="11" t="s">
        <v>21</v>
      </c>
      <c r="N2" s="11" t="s">
        <v>22</v>
      </c>
      <c r="P2" s="8" t="s">
        <v>42</v>
      </c>
      <c r="Q2" s="15">
        <f>L28</f>
        <v>705.17294180669319</v>
      </c>
    </row>
    <row r="3" spans="1:32" x14ac:dyDescent="0.2">
      <c r="A3" t="s">
        <v>3</v>
      </c>
      <c r="B3">
        <v>2</v>
      </c>
      <c r="C3">
        <v>14.63</v>
      </c>
      <c r="E3" s="5">
        <v>126</v>
      </c>
      <c r="F3" s="10">
        <f>MATCH(E3, B2:B279, 1)</f>
        <v>55</v>
      </c>
      <c r="G3" s="10">
        <f t="shared" ref="G3:G12" si="0">F3+1</f>
        <v>56</v>
      </c>
      <c r="H3" s="5" cm="1">
        <f t="array" ref="H3">INDEX(B2:C279,F3,1)</f>
        <v>124</v>
      </c>
      <c r="I3" s="5" cm="1">
        <f t="array" ref="I3">INDEX(B2:C279,G3,1)</f>
        <v>129</v>
      </c>
      <c r="J3" s="5">
        <f t="shared" ref="J3:J12" si="1">VLOOKUP(H3,B:C,2,FALSE)</f>
        <v>14.2</v>
      </c>
      <c r="K3" s="5">
        <f>VLOOKUP(I3,B:C,2,FALSE)</f>
        <v>14.19</v>
      </c>
      <c r="L3" s="5">
        <f>J3+(E3-H3)/(I3-H3)*(K3-J3)</f>
        <v>14.196</v>
      </c>
      <c r="M3" s="20">
        <f>L3/100</f>
        <v>0.14196</v>
      </c>
      <c r="N3" s="21">
        <f>M3+0.5%</f>
        <v>0.14696000000000001</v>
      </c>
      <c r="P3" s="8" t="s">
        <v>43</v>
      </c>
      <c r="Q3" s="16">
        <f>G36</f>
        <v>6.7828479780701167E-2</v>
      </c>
      <c r="R3" s="9">
        <f>G37</f>
        <v>0.14025766223076341</v>
      </c>
    </row>
    <row r="4" spans="1:32" x14ac:dyDescent="0.2">
      <c r="A4" t="s">
        <v>3</v>
      </c>
      <c r="B4">
        <v>3</v>
      </c>
      <c r="C4">
        <v>14.62</v>
      </c>
      <c r="E4" s="5">
        <v>252</v>
      </c>
      <c r="F4" s="10">
        <f t="shared" ref="F4:F12" si="2">MATCH(E4, B3:B280, 1)</f>
        <v>92</v>
      </c>
      <c r="G4" s="10">
        <f t="shared" si="0"/>
        <v>93</v>
      </c>
      <c r="H4" s="5" cm="1">
        <f t="array" ref="H4">INDEX(B3:C280,F4,1)</f>
        <v>252</v>
      </c>
      <c r="I4" s="5" cm="1">
        <f t="array" ref="I4">INDEX(B3:C280,G4,1)</f>
        <v>264</v>
      </c>
      <c r="J4" s="5">
        <f t="shared" si="1"/>
        <v>13.96</v>
      </c>
      <c r="K4" s="5">
        <f>VLOOKUP(I4,B:C,2,FALSE)</f>
        <v>13.94</v>
      </c>
      <c r="L4" s="5">
        <f t="shared" ref="L4:L12" si="3">J4+(E4-H4)/(I4-H4)*(K4-J4)</f>
        <v>13.96</v>
      </c>
      <c r="M4" s="20">
        <f t="shared" ref="M4:M12" si="4">L4/100</f>
        <v>0.1396</v>
      </c>
      <c r="N4" s="21">
        <f t="shared" ref="N4:N12" si="5">M4+0.5%</f>
        <v>0.14460000000000001</v>
      </c>
      <c r="P4" s="8" t="s">
        <v>44</v>
      </c>
      <c r="Q4" s="7">
        <f>J51</f>
        <v>753.49558401982472</v>
      </c>
    </row>
    <row r="5" spans="1:32" x14ac:dyDescent="0.2">
      <c r="A5" t="s">
        <v>3</v>
      </c>
      <c r="B5">
        <v>4</v>
      </c>
      <c r="C5">
        <v>14.62</v>
      </c>
      <c r="E5" s="5">
        <v>378</v>
      </c>
      <c r="F5" s="10">
        <f t="shared" si="2"/>
        <v>109</v>
      </c>
      <c r="G5" s="10">
        <f t="shared" si="0"/>
        <v>110</v>
      </c>
      <c r="H5" s="5" cm="1">
        <f t="array" ref="H5">INDEX(B4:C281,F5,1)</f>
        <v>371</v>
      </c>
      <c r="I5" s="5" cm="1">
        <f t="array" ref="I5">INDEX(B4:C281,G5,1)</f>
        <v>381</v>
      </c>
      <c r="J5" s="5">
        <f t="shared" si="1"/>
        <v>13.74</v>
      </c>
      <c r="K5" s="5">
        <f t="shared" ref="K5:K12" si="6">VLOOKUP(I5,B:C,2,FALSE)</f>
        <v>13.72</v>
      </c>
      <c r="L5" s="5">
        <f t="shared" si="3"/>
        <v>13.726000000000001</v>
      </c>
      <c r="M5" s="20">
        <f t="shared" si="4"/>
        <v>0.13726000000000002</v>
      </c>
      <c r="N5" s="21">
        <f t="shared" si="5"/>
        <v>0.14226000000000003</v>
      </c>
      <c r="P5" s="8" t="s">
        <v>45</v>
      </c>
      <c r="Q5" s="9">
        <f>G57</f>
        <v>0.13012076246166715</v>
      </c>
    </row>
    <row r="6" spans="1:32" x14ac:dyDescent="0.2">
      <c r="A6" t="s">
        <v>3</v>
      </c>
      <c r="B6">
        <v>5</v>
      </c>
      <c r="C6">
        <v>14.61</v>
      </c>
      <c r="E6" s="5">
        <v>504</v>
      </c>
      <c r="F6" s="10">
        <f t="shared" si="2"/>
        <v>122</v>
      </c>
      <c r="G6" s="10">
        <f t="shared" si="0"/>
        <v>123</v>
      </c>
      <c r="H6" s="5" cm="1">
        <f t="array" ref="H6">INDEX(B5:C282,F6,1)</f>
        <v>495</v>
      </c>
      <c r="I6" s="5" cm="1">
        <f t="array" ref="I6">INDEX(B5:C282,G6,1)</f>
        <v>514</v>
      </c>
      <c r="J6" s="5">
        <f t="shared" si="1"/>
        <v>13.58</v>
      </c>
      <c r="K6" s="5">
        <f t="shared" si="6"/>
        <v>13.56</v>
      </c>
      <c r="L6" s="5">
        <f t="shared" si="3"/>
        <v>13.570526315789474</v>
      </c>
      <c r="M6" s="20">
        <f t="shared" si="4"/>
        <v>0.13570526315789475</v>
      </c>
      <c r="N6" s="21">
        <f t="shared" si="5"/>
        <v>0.14070526315789475</v>
      </c>
      <c r="P6" s="8" t="s">
        <v>46</v>
      </c>
      <c r="Q6" s="9">
        <f>F59</f>
        <v>0.1035458317813725</v>
      </c>
    </row>
    <row r="7" spans="1:32" x14ac:dyDescent="0.2">
      <c r="A7" t="s">
        <v>3</v>
      </c>
      <c r="B7">
        <v>9</v>
      </c>
      <c r="C7">
        <v>14.53</v>
      </c>
      <c r="E7" s="5">
        <v>630</v>
      </c>
      <c r="F7" s="10">
        <f t="shared" si="2"/>
        <v>135</v>
      </c>
      <c r="G7" s="10">
        <f t="shared" si="0"/>
        <v>136</v>
      </c>
      <c r="H7" s="5" cm="1">
        <f t="array" ref="H7">INDEX(B6:C283,F7,1)</f>
        <v>618</v>
      </c>
      <c r="I7" s="5" cm="1">
        <f t="array" ref="I7">INDEX(B6:C283,G7,1)</f>
        <v>633</v>
      </c>
      <c r="J7" s="5">
        <f t="shared" si="1"/>
        <v>13.5</v>
      </c>
      <c r="K7" s="5">
        <f t="shared" si="6"/>
        <v>13.49</v>
      </c>
      <c r="L7" s="5">
        <f t="shared" si="3"/>
        <v>13.492000000000001</v>
      </c>
      <c r="M7" s="20">
        <f t="shared" si="4"/>
        <v>0.13492000000000001</v>
      </c>
      <c r="N7" s="21">
        <f t="shared" si="5"/>
        <v>0.13992000000000002</v>
      </c>
      <c r="P7" s="8" t="s">
        <v>47</v>
      </c>
      <c r="Q7" s="17">
        <f>F60</f>
        <v>0.21781340284204109</v>
      </c>
    </row>
    <row r="8" spans="1:32" x14ac:dyDescent="0.2">
      <c r="A8" t="s">
        <v>3</v>
      </c>
      <c r="B8">
        <v>12</v>
      </c>
      <c r="C8">
        <v>14.5</v>
      </c>
      <c r="E8" s="5">
        <v>756</v>
      </c>
      <c r="F8" s="10">
        <f t="shared" si="2"/>
        <v>146</v>
      </c>
      <c r="G8" s="10">
        <f t="shared" si="0"/>
        <v>147</v>
      </c>
      <c r="H8" s="5" cm="1">
        <f t="array" ref="H8">INDEX(B7:C284,F8,1)</f>
        <v>738</v>
      </c>
      <c r="I8" s="5" cm="1">
        <f t="array" ref="I8">INDEX(B7:C284,G8,1)</f>
        <v>758</v>
      </c>
      <c r="J8" s="5">
        <f t="shared" si="1"/>
        <v>13.49</v>
      </c>
      <c r="K8" s="5">
        <f t="shared" si="6"/>
        <v>13.49</v>
      </c>
      <c r="L8" s="5">
        <f t="shared" si="3"/>
        <v>13.49</v>
      </c>
      <c r="M8" s="20">
        <f t="shared" si="4"/>
        <v>0.13489999999999999</v>
      </c>
      <c r="N8" s="21">
        <f t="shared" si="5"/>
        <v>0.1399</v>
      </c>
      <c r="P8" s="8" t="s">
        <v>33</v>
      </c>
      <c r="Q8" s="24" t="s">
        <v>34</v>
      </c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6"/>
    </row>
    <row r="9" spans="1:32" x14ac:dyDescent="0.2">
      <c r="A9" t="s">
        <v>3</v>
      </c>
      <c r="B9">
        <v>14</v>
      </c>
      <c r="C9">
        <v>14.49</v>
      </c>
      <c r="E9" s="5">
        <v>882</v>
      </c>
      <c r="F9" s="10">
        <f t="shared" si="2"/>
        <v>155</v>
      </c>
      <c r="G9" s="10">
        <f t="shared" si="0"/>
        <v>156</v>
      </c>
      <c r="H9" s="5" cm="1">
        <f t="array" ref="H9">INDEX(B8:C285,F9,1)</f>
        <v>882</v>
      </c>
      <c r="I9" s="5" cm="1">
        <f t="array" ref="I9">INDEX(B8:C285,G9,1)</f>
        <v>891</v>
      </c>
      <c r="J9" s="5">
        <f t="shared" si="1"/>
        <v>13.5</v>
      </c>
      <c r="K9" s="5">
        <f t="shared" si="6"/>
        <v>13.5</v>
      </c>
      <c r="L9" s="5">
        <f t="shared" si="3"/>
        <v>13.5</v>
      </c>
      <c r="M9" s="20">
        <f t="shared" si="4"/>
        <v>0.13500000000000001</v>
      </c>
      <c r="N9" s="21">
        <f t="shared" si="5"/>
        <v>0.14000000000000001</v>
      </c>
      <c r="P9" s="8" t="s">
        <v>35</v>
      </c>
      <c r="Q9" s="24" t="s">
        <v>39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6"/>
    </row>
    <row r="10" spans="1:32" x14ac:dyDescent="0.2">
      <c r="A10" t="s">
        <v>3</v>
      </c>
      <c r="B10">
        <v>15</v>
      </c>
      <c r="C10">
        <v>14.48</v>
      </c>
      <c r="E10" s="5">
        <v>1008</v>
      </c>
      <c r="F10" s="10">
        <f t="shared" si="2"/>
        <v>160</v>
      </c>
      <c r="G10" s="10">
        <f t="shared" si="0"/>
        <v>161</v>
      </c>
      <c r="H10" s="5" cm="1">
        <f t="array" ref="H10">INDEX(B9:C286,F10,1)</f>
        <v>984</v>
      </c>
      <c r="I10" s="5" cm="1">
        <f t="array" ref="I10">INDEX(B9:C286,G10,1)</f>
        <v>1012</v>
      </c>
      <c r="J10" s="5">
        <f t="shared" si="1"/>
        <v>13.49</v>
      </c>
      <c r="K10" s="5">
        <f t="shared" si="6"/>
        <v>13.5</v>
      </c>
      <c r="L10" s="5">
        <f t="shared" si="3"/>
        <v>13.498571428571429</v>
      </c>
      <c r="M10" s="20">
        <f t="shared" si="4"/>
        <v>0.13498571428571429</v>
      </c>
      <c r="N10" s="21">
        <f t="shared" si="5"/>
        <v>0.1399857142857143</v>
      </c>
      <c r="P10" s="8" t="s">
        <v>36</v>
      </c>
      <c r="Q10" s="24" t="s">
        <v>40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6"/>
    </row>
    <row r="11" spans="1:32" x14ac:dyDescent="0.2">
      <c r="A11" t="s">
        <v>3</v>
      </c>
      <c r="B11">
        <v>16</v>
      </c>
      <c r="C11">
        <v>14.48</v>
      </c>
      <c r="E11" s="5">
        <v>1134</v>
      </c>
      <c r="F11" s="10">
        <f t="shared" si="2"/>
        <v>164</v>
      </c>
      <c r="G11" s="10">
        <f t="shared" si="0"/>
        <v>165</v>
      </c>
      <c r="H11" s="5" cm="1">
        <f t="array" ref="H11">INDEX(B10:C287,F11,1)</f>
        <v>1110</v>
      </c>
      <c r="I11" s="5" cm="1">
        <f t="array" ref="I11">INDEX(B10:C287,G11,1)</f>
        <v>1143</v>
      </c>
      <c r="J11" s="5">
        <f t="shared" si="1"/>
        <v>13.5</v>
      </c>
      <c r="K11" s="5">
        <f t="shared" si="6"/>
        <v>13.51</v>
      </c>
      <c r="L11" s="5">
        <f t="shared" si="3"/>
        <v>13.507272727272728</v>
      </c>
      <c r="M11" s="20">
        <f t="shared" si="4"/>
        <v>0.13507272727272729</v>
      </c>
      <c r="N11" s="21">
        <f t="shared" si="5"/>
        <v>0.14007272727272729</v>
      </c>
      <c r="P11" s="8" t="s">
        <v>37</v>
      </c>
      <c r="Q11" s="24" t="s">
        <v>48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6"/>
    </row>
    <row r="12" spans="1:32" x14ac:dyDescent="0.2">
      <c r="A12" t="s">
        <v>3</v>
      </c>
      <c r="B12">
        <v>17</v>
      </c>
      <c r="C12">
        <v>14.47</v>
      </c>
      <c r="E12" s="5">
        <v>1260</v>
      </c>
      <c r="F12" s="10">
        <f t="shared" si="2"/>
        <v>170</v>
      </c>
      <c r="G12" s="10">
        <f t="shared" si="0"/>
        <v>171</v>
      </c>
      <c r="H12" s="5" cm="1">
        <f t="array" ref="H12">INDEX(B11:C288,F12,1)</f>
        <v>1234</v>
      </c>
      <c r="I12" s="5" cm="1">
        <f t="array" ref="I12">INDEX(B11:C288,G12,1)</f>
        <v>1263</v>
      </c>
      <c r="J12" s="5">
        <f t="shared" si="1"/>
        <v>13.53</v>
      </c>
      <c r="K12" s="5">
        <f t="shared" si="6"/>
        <v>13.53</v>
      </c>
      <c r="L12" s="5">
        <f t="shared" si="3"/>
        <v>13.53</v>
      </c>
      <c r="M12" s="20">
        <f t="shared" si="4"/>
        <v>0.1353</v>
      </c>
      <c r="N12" s="21">
        <f t="shared" si="5"/>
        <v>0.14030000000000001</v>
      </c>
      <c r="P12" s="8" t="s">
        <v>38</v>
      </c>
      <c r="Q12" s="27" t="s">
        <v>41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spans="1:32" x14ac:dyDescent="0.2">
      <c r="A13" t="s">
        <v>3</v>
      </c>
      <c r="B13">
        <v>18</v>
      </c>
      <c r="C13">
        <v>14.47</v>
      </c>
    </row>
    <row r="14" spans="1:32" x14ac:dyDescent="0.2">
      <c r="A14" t="s">
        <v>3</v>
      </c>
      <c r="B14">
        <v>20</v>
      </c>
      <c r="C14">
        <v>14.47</v>
      </c>
    </row>
    <row r="15" spans="1:32" x14ac:dyDescent="0.2">
      <c r="A15" t="s">
        <v>3</v>
      </c>
      <c r="B15">
        <v>22</v>
      </c>
      <c r="C15">
        <v>14.46</v>
      </c>
    </row>
    <row r="16" spans="1:32" x14ac:dyDescent="0.2">
      <c r="A16" t="s">
        <v>3</v>
      </c>
      <c r="B16">
        <v>24</v>
      </c>
      <c r="C16">
        <v>14.46</v>
      </c>
    </row>
    <row r="17" spans="1:12" x14ac:dyDescent="0.2">
      <c r="A17" t="s">
        <v>3</v>
      </c>
      <c r="B17">
        <v>25</v>
      </c>
      <c r="C17">
        <v>14.46</v>
      </c>
      <c r="E17" s="8" t="s">
        <v>4</v>
      </c>
      <c r="F17" s="8" t="s">
        <v>5</v>
      </c>
      <c r="G17" s="8" t="s">
        <v>9</v>
      </c>
      <c r="H17" s="8" t="s">
        <v>6</v>
      </c>
      <c r="I17" s="8" t="s">
        <v>7</v>
      </c>
      <c r="J17" s="8" t="s">
        <v>10</v>
      </c>
      <c r="K17" s="8" t="s">
        <v>8</v>
      </c>
      <c r="L17" s="8" t="s">
        <v>11</v>
      </c>
    </row>
    <row r="18" spans="1:12" x14ac:dyDescent="0.2">
      <c r="A18" t="s">
        <v>3</v>
      </c>
      <c r="B18">
        <v>34</v>
      </c>
      <c r="C18">
        <v>14.42</v>
      </c>
      <c r="E18" s="5">
        <v>1</v>
      </c>
      <c r="F18" s="5">
        <v>126</v>
      </c>
      <c r="G18" s="5">
        <v>1000</v>
      </c>
      <c r="H18" s="5">
        <f>G18*$G$30</f>
        <v>24.695076595959932</v>
      </c>
      <c r="I18" s="5">
        <v>0</v>
      </c>
      <c r="J18" s="5">
        <f>H18+I18</f>
        <v>24.695076595959932</v>
      </c>
      <c r="K18" s="9">
        <f>N3</f>
        <v>0.14696000000000001</v>
      </c>
      <c r="L18" s="7">
        <f>PV(K18,F18/252,,-J18)</f>
        <v>23.058775519941364</v>
      </c>
    </row>
    <row r="19" spans="1:12" x14ac:dyDescent="0.2">
      <c r="A19" t="s">
        <v>3</v>
      </c>
      <c r="B19">
        <v>35</v>
      </c>
      <c r="C19">
        <v>14.42</v>
      </c>
      <c r="E19" s="5">
        <v>2</v>
      </c>
      <c r="F19" s="5">
        <v>252</v>
      </c>
      <c r="G19" s="5">
        <v>1000</v>
      </c>
      <c r="H19" s="5">
        <f t="shared" ref="H19:H27" si="7">G19*$G$30</f>
        <v>24.695076595959932</v>
      </c>
      <c r="I19" s="5">
        <v>0</v>
      </c>
      <c r="J19" s="5">
        <f t="shared" ref="J19:J27" si="8">H19+I19</f>
        <v>24.695076595959932</v>
      </c>
      <c r="K19" s="9">
        <f t="shared" ref="K19:K27" si="9">N4</f>
        <v>0.14460000000000001</v>
      </c>
      <c r="L19" s="7">
        <f t="shared" ref="L19:L27" si="10">PV(K19,F19/252,,-J19)</f>
        <v>21.575289704665327</v>
      </c>
    </row>
    <row r="20" spans="1:12" x14ac:dyDescent="0.2">
      <c r="A20" t="s">
        <v>3</v>
      </c>
      <c r="B20">
        <v>36</v>
      </c>
      <c r="C20">
        <v>14.42</v>
      </c>
      <c r="E20" s="5">
        <v>3</v>
      </c>
      <c r="F20" s="5">
        <v>378</v>
      </c>
      <c r="G20" s="5">
        <v>1000</v>
      </c>
      <c r="H20" s="5">
        <f t="shared" si="7"/>
        <v>24.695076595959932</v>
      </c>
      <c r="I20" s="5">
        <v>0</v>
      </c>
      <c r="J20" s="5">
        <f t="shared" si="8"/>
        <v>24.695076595959932</v>
      </c>
      <c r="K20" s="9">
        <f t="shared" si="9"/>
        <v>0.14226000000000003</v>
      </c>
      <c r="L20" s="7">
        <f t="shared" si="10"/>
        <v>20.228464811164883</v>
      </c>
    </row>
    <row r="21" spans="1:12" x14ac:dyDescent="0.2">
      <c r="A21" t="s">
        <v>3</v>
      </c>
      <c r="B21">
        <v>37</v>
      </c>
      <c r="C21">
        <v>14.42</v>
      </c>
      <c r="E21" s="5">
        <v>4</v>
      </c>
      <c r="F21" s="5">
        <v>504</v>
      </c>
      <c r="G21" s="5">
        <v>1000</v>
      </c>
      <c r="H21" s="5">
        <f t="shared" si="7"/>
        <v>24.695076595959932</v>
      </c>
      <c r="I21" s="5">
        <v>0</v>
      </c>
      <c r="J21" s="5">
        <f t="shared" si="8"/>
        <v>24.695076595959932</v>
      </c>
      <c r="K21" s="9">
        <f t="shared" si="9"/>
        <v>0.14070526315789475</v>
      </c>
      <c r="L21" s="7">
        <f t="shared" si="10"/>
        <v>18.978570033455682</v>
      </c>
    </row>
    <row r="22" spans="1:12" x14ac:dyDescent="0.2">
      <c r="A22" t="s">
        <v>3</v>
      </c>
      <c r="B22">
        <v>38</v>
      </c>
      <c r="C22">
        <v>14.41</v>
      </c>
      <c r="E22" s="5">
        <v>5</v>
      </c>
      <c r="F22" s="5">
        <v>630</v>
      </c>
      <c r="G22" s="5">
        <v>1000</v>
      </c>
      <c r="H22" s="5">
        <f t="shared" si="7"/>
        <v>24.695076595959932</v>
      </c>
      <c r="I22" s="5">
        <v>0</v>
      </c>
      <c r="J22" s="5">
        <f t="shared" si="8"/>
        <v>24.695076595959932</v>
      </c>
      <c r="K22" s="9">
        <f t="shared" si="9"/>
        <v>0.13992000000000002</v>
      </c>
      <c r="L22" s="7">
        <f t="shared" si="10"/>
        <v>17.800182043402152</v>
      </c>
    </row>
    <row r="23" spans="1:12" x14ac:dyDescent="0.2">
      <c r="A23" t="s">
        <v>3</v>
      </c>
      <c r="B23">
        <v>40</v>
      </c>
      <c r="C23">
        <v>14.41</v>
      </c>
      <c r="E23" s="5">
        <v>6</v>
      </c>
      <c r="F23" s="5">
        <v>756</v>
      </c>
      <c r="G23" s="5">
        <v>1000</v>
      </c>
      <c r="H23" s="5">
        <f t="shared" si="7"/>
        <v>24.695076595959932</v>
      </c>
      <c r="I23" s="5">
        <v>0</v>
      </c>
      <c r="J23" s="5">
        <f t="shared" si="8"/>
        <v>24.695076595959932</v>
      </c>
      <c r="K23" s="9">
        <f t="shared" si="9"/>
        <v>0.1399</v>
      </c>
      <c r="L23" s="7">
        <f t="shared" si="10"/>
        <v>16.672860502703646</v>
      </c>
    </row>
    <row r="24" spans="1:12" x14ac:dyDescent="0.2">
      <c r="A24" t="s">
        <v>3</v>
      </c>
      <c r="B24">
        <v>43</v>
      </c>
      <c r="C24">
        <v>14.4</v>
      </c>
      <c r="E24" s="5">
        <v>7</v>
      </c>
      <c r="F24" s="5">
        <v>882</v>
      </c>
      <c r="G24" s="5">
        <v>1000</v>
      </c>
      <c r="H24" s="5">
        <f t="shared" si="7"/>
        <v>24.695076595959932</v>
      </c>
      <c r="I24" s="5">
        <v>0</v>
      </c>
      <c r="J24" s="5">
        <f t="shared" si="8"/>
        <v>24.695076595959932</v>
      </c>
      <c r="K24" s="9">
        <f t="shared" si="9"/>
        <v>0.14000000000000001</v>
      </c>
      <c r="L24" s="7">
        <f t="shared" si="10"/>
        <v>15.611455586671216</v>
      </c>
    </row>
    <row r="25" spans="1:12" x14ac:dyDescent="0.2">
      <c r="A25" t="s">
        <v>3</v>
      </c>
      <c r="B25">
        <v>44</v>
      </c>
      <c r="C25">
        <v>14.4</v>
      </c>
      <c r="E25" s="5">
        <v>8</v>
      </c>
      <c r="F25" s="5">
        <v>1008</v>
      </c>
      <c r="G25" s="5">
        <v>1000</v>
      </c>
      <c r="H25" s="5">
        <f t="shared" si="7"/>
        <v>24.695076595959932</v>
      </c>
      <c r="I25" s="5">
        <v>0</v>
      </c>
      <c r="J25" s="5">
        <f t="shared" si="8"/>
        <v>24.695076595959932</v>
      </c>
      <c r="K25" s="9">
        <f t="shared" si="9"/>
        <v>0.1399857142857143</v>
      </c>
      <c r="L25" s="7">
        <f t="shared" si="10"/>
        <v>14.622200729229478</v>
      </c>
    </row>
    <row r="26" spans="1:12" x14ac:dyDescent="0.2">
      <c r="A26" t="s">
        <v>3</v>
      </c>
      <c r="B26">
        <v>45</v>
      </c>
      <c r="C26">
        <v>14.4</v>
      </c>
      <c r="E26" s="5">
        <v>9</v>
      </c>
      <c r="F26" s="5">
        <v>1134</v>
      </c>
      <c r="G26" s="5">
        <v>1000</v>
      </c>
      <c r="H26" s="5">
        <f t="shared" si="7"/>
        <v>24.695076595959932</v>
      </c>
      <c r="I26" s="5">
        <v>500</v>
      </c>
      <c r="J26" s="5">
        <f t="shared" si="8"/>
        <v>524.6950765959599</v>
      </c>
      <c r="K26" s="9">
        <f t="shared" si="9"/>
        <v>0.14007272727272729</v>
      </c>
      <c r="L26" s="7">
        <f t="shared" si="10"/>
        <v>290.87773794370219</v>
      </c>
    </row>
    <row r="27" spans="1:12" x14ac:dyDescent="0.2">
      <c r="A27" t="s">
        <v>3</v>
      </c>
      <c r="B27">
        <v>46</v>
      </c>
      <c r="C27">
        <v>14.4</v>
      </c>
      <c r="E27" s="5">
        <v>10</v>
      </c>
      <c r="F27" s="5">
        <v>1260</v>
      </c>
      <c r="G27" s="5">
        <v>500</v>
      </c>
      <c r="H27" s="5">
        <f t="shared" si="7"/>
        <v>12.347538297979966</v>
      </c>
      <c r="I27" s="5">
        <v>500</v>
      </c>
      <c r="J27" s="5">
        <f t="shared" si="8"/>
        <v>512.34753829798001</v>
      </c>
      <c r="K27" s="9">
        <f t="shared" si="9"/>
        <v>0.14030000000000001</v>
      </c>
      <c r="L27" s="7">
        <f t="shared" si="10"/>
        <v>265.74740493175733</v>
      </c>
    </row>
    <row r="28" spans="1:12" x14ac:dyDescent="0.2">
      <c r="A28" t="s">
        <v>3</v>
      </c>
      <c r="B28">
        <v>55</v>
      </c>
      <c r="C28">
        <v>14.37</v>
      </c>
      <c r="K28" s="8" t="s">
        <v>25</v>
      </c>
      <c r="L28" s="7">
        <f>SUM(L18:L27)</f>
        <v>705.17294180669319</v>
      </c>
    </row>
    <row r="29" spans="1:12" x14ac:dyDescent="0.2">
      <c r="A29" t="s">
        <v>3</v>
      </c>
      <c r="B29">
        <v>56</v>
      </c>
      <c r="C29">
        <v>14.36</v>
      </c>
      <c r="F29" t="s">
        <v>23</v>
      </c>
      <c r="G29" s="1">
        <v>0.05</v>
      </c>
    </row>
    <row r="30" spans="1:12" x14ac:dyDescent="0.2">
      <c r="A30" t="s">
        <v>3</v>
      </c>
      <c r="B30">
        <v>62</v>
      </c>
      <c r="C30">
        <v>14.35</v>
      </c>
      <c r="F30" t="s">
        <v>24</v>
      </c>
      <c r="G30" s="2">
        <f>(1+G29)^(1/2)-1</f>
        <v>2.4695076595959931E-2</v>
      </c>
    </row>
    <row r="31" spans="1:12" x14ac:dyDescent="0.2">
      <c r="A31" t="s">
        <v>3</v>
      </c>
      <c r="B31">
        <v>67</v>
      </c>
      <c r="C31">
        <v>14.34</v>
      </c>
    </row>
    <row r="32" spans="1:12" x14ac:dyDescent="0.2">
      <c r="A32" t="s">
        <v>3</v>
      </c>
      <c r="B32">
        <v>68</v>
      </c>
      <c r="C32">
        <v>14.33</v>
      </c>
      <c r="F32" t="s">
        <v>12</v>
      </c>
    </row>
    <row r="33" spans="1:17" x14ac:dyDescent="0.2">
      <c r="A33" t="s">
        <v>3</v>
      </c>
      <c r="B33">
        <v>69</v>
      </c>
      <c r="C33">
        <v>14.33</v>
      </c>
      <c r="F33" t="s">
        <v>4</v>
      </c>
      <c r="G33">
        <v>0</v>
      </c>
      <c r="H33">
        <v>1</v>
      </c>
      <c r="I33">
        <v>2</v>
      </c>
      <c r="J33">
        <v>3</v>
      </c>
      <c r="K33">
        <v>4</v>
      </c>
      <c r="L33">
        <v>5</v>
      </c>
      <c r="M33">
        <v>6</v>
      </c>
      <c r="N33">
        <v>7</v>
      </c>
      <c r="O33">
        <v>8</v>
      </c>
      <c r="P33">
        <v>9</v>
      </c>
      <c r="Q33">
        <v>10</v>
      </c>
    </row>
    <row r="34" spans="1:17" x14ac:dyDescent="0.2">
      <c r="A34" t="s">
        <v>3</v>
      </c>
      <c r="B34">
        <v>76</v>
      </c>
      <c r="C34">
        <v>14.31</v>
      </c>
      <c r="G34" s="3">
        <f>L28*-1</f>
        <v>-705.17294180669319</v>
      </c>
      <c r="H34" cm="1">
        <f t="array" ref="H34:Q34">TRANSPOSE(J18:J27)</f>
        <v>24.695076595959932</v>
      </c>
      <c r="I34">
        <v>24.695076595959932</v>
      </c>
      <c r="J34">
        <v>24.695076595959932</v>
      </c>
      <c r="K34">
        <v>24.695076595959932</v>
      </c>
      <c r="L34">
        <v>24.695076595959932</v>
      </c>
      <c r="M34">
        <v>24.695076595959932</v>
      </c>
      <c r="N34">
        <v>24.695076595959932</v>
      </c>
      <c r="O34">
        <v>24.695076595959932</v>
      </c>
      <c r="P34">
        <v>524.6950765959599</v>
      </c>
      <c r="Q34">
        <v>512.34753829798001</v>
      </c>
    </row>
    <row r="35" spans="1:17" x14ac:dyDescent="0.2">
      <c r="A35" t="s">
        <v>3</v>
      </c>
      <c r="B35">
        <v>79</v>
      </c>
      <c r="C35">
        <v>14.3</v>
      </c>
    </row>
    <row r="36" spans="1:17" x14ac:dyDescent="0.2">
      <c r="A36" t="s">
        <v>3</v>
      </c>
      <c r="B36">
        <v>80</v>
      </c>
      <c r="C36">
        <v>14.29</v>
      </c>
      <c r="F36" t="s">
        <v>26</v>
      </c>
      <c r="G36" s="4">
        <f>IRR(G34:Q34)</f>
        <v>6.7828479780701167E-2</v>
      </c>
    </row>
    <row r="37" spans="1:17" x14ac:dyDescent="0.2">
      <c r="A37" t="s">
        <v>3</v>
      </c>
      <c r="B37">
        <v>81</v>
      </c>
      <c r="C37">
        <v>14.29</v>
      </c>
      <c r="F37" t="s">
        <v>13</v>
      </c>
      <c r="G37" s="2">
        <f>(1+G36)^(2)-1</f>
        <v>0.14025766223076341</v>
      </c>
    </row>
    <row r="38" spans="1:17" x14ac:dyDescent="0.2">
      <c r="A38" t="s">
        <v>3</v>
      </c>
      <c r="B38">
        <v>83</v>
      </c>
      <c r="C38">
        <v>14.29</v>
      </c>
    </row>
    <row r="39" spans="1:17" x14ac:dyDescent="0.2">
      <c r="A39" t="s">
        <v>3</v>
      </c>
      <c r="B39">
        <v>84</v>
      </c>
      <c r="C39">
        <v>14.28</v>
      </c>
    </row>
    <row r="40" spans="1:17" x14ac:dyDescent="0.2">
      <c r="A40" t="s">
        <v>3</v>
      </c>
      <c r="B40">
        <v>87</v>
      </c>
      <c r="C40">
        <v>14.28</v>
      </c>
      <c r="E40" s="28" t="s">
        <v>27</v>
      </c>
      <c r="F40" s="29"/>
      <c r="G40" s="29"/>
      <c r="H40" s="29"/>
      <c r="I40" s="29"/>
      <c r="J40" s="30"/>
    </row>
    <row r="41" spans="1:17" x14ac:dyDescent="0.2">
      <c r="A41" t="s">
        <v>3</v>
      </c>
      <c r="B41">
        <v>88</v>
      </c>
      <c r="C41">
        <v>14.27</v>
      </c>
      <c r="E41" s="11" t="s">
        <v>28</v>
      </c>
      <c r="F41" s="11" t="s">
        <v>29</v>
      </c>
      <c r="G41" s="11" t="s">
        <v>30</v>
      </c>
      <c r="H41" s="11" t="s">
        <v>31</v>
      </c>
      <c r="I41" s="11" t="s">
        <v>22</v>
      </c>
      <c r="J41" s="11" t="s">
        <v>32</v>
      </c>
    </row>
    <row r="42" spans="1:17" x14ac:dyDescent="0.2">
      <c r="A42" t="s">
        <v>3</v>
      </c>
      <c r="B42">
        <v>89</v>
      </c>
      <c r="C42">
        <v>14.27</v>
      </c>
      <c r="E42" s="5">
        <v>2</v>
      </c>
      <c r="F42" s="5">
        <v>1</v>
      </c>
      <c r="G42" s="5">
        <f>VLOOKUP(F42,E18:L27,2)</f>
        <v>126</v>
      </c>
      <c r="H42" s="5">
        <f>VLOOKUP(E42,E18:L27,6)</f>
        <v>24.695076595959932</v>
      </c>
      <c r="I42" s="9">
        <f>VLOOKUP(F42,E18:L27,7)-1%</f>
        <v>0.13696</v>
      </c>
      <c r="J42" s="7">
        <f>PV(I42,G42/252,,-H42)</f>
        <v>23.159958915044111</v>
      </c>
    </row>
    <row r="43" spans="1:17" x14ac:dyDescent="0.2">
      <c r="A43" t="s">
        <v>3</v>
      </c>
      <c r="B43">
        <v>90</v>
      </c>
      <c r="C43">
        <v>14.27</v>
      </c>
      <c r="E43" s="5">
        <v>3</v>
      </c>
      <c r="F43" s="5">
        <v>2</v>
      </c>
      <c r="G43" s="5">
        <f t="shared" ref="G43:G50" si="11">VLOOKUP(F43,E19:L28,2)</f>
        <v>252</v>
      </c>
      <c r="H43" s="5">
        <f t="shared" ref="H43:H50" si="12">VLOOKUP(E43,E19:L28,6)</f>
        <v>24.695076595959932</v>
      </c>
      <c r="I43" s="9">
        <f t="shared" ref="I43:I50" si="13">VLOOKUP(F43,E19:L28,7)-1%</f>
        <v>0.1346</v>
      </c>
      <c r="J43" s="7">
        <f t="shared" ref="J43:J50" si="14">PV(I43,G43/252,,-H43)</f>
        <v>21.765447378776599</v>
      </c>
    </row>
    <row r="44" spans="1:17" x14ac:dyDescent="0.2">
      <c r="A44" t="s">
        <v>3</v>
      </c>
      <c r="B44">
        <v>99</v>
      </c>
      <c r="C44">
        <v>14.25</v>
      </c>
      <c r="E44" s="5">
        <v>4</v>
      </c>
      <c r="F44" s="5">
        <v>3</v>
      </c>
      <c r="G44" s="5">
        <f t="shared" si="11"/>
        <v>378</v>
      </c>
      <c r="H44" s="5">
        <f t="shared" si="12"/>
        <v>24.695076595959932</v>
      </c>
      <c r="I44" s="9">
        <f t="shared" si="13"/>
        <v>0.13226000000000002</v>
      </c>
      <c r="J44" s="7">
        <f t="shared" si="14"/>
        <v>20.497039120904294</v>
      </c>
    </row>
    <row r="45" spans="1:17" x14ac:dyDescent="0.2">
      <c r="A45" t="s">
        <v>3</v>
      </c>
      <c r="B45">
        <v>100</v>
      </c>
      <c r="C45">
        <v>14.25</v>
      </c>
      <c r="E45" s="5">
        <v>5</v>
      </c>
      <c r="F45" s="5">
        <v>4</v>
      </c>
      <c r="G45" s="5">
        <f t="shared" si="11"/>
        <v>504</v>
      </c>
      <c r="H45" s="5">
        <f t="shared" si="12"/>
        <v>24.695076595959932</v>
      </c>
      <c r="I45" s="9">
        <f t="shared" si="13"/>
        <v>0.13070526315789474</v>
      </c>
      <c r="J45" s="7">
        <f t="shared" si="14"/>
        <v>19.315748858905934</v>
      </c>
    </row>
    <row r="46" spans="1:17" x14ac:dyDescent="0.2">
      <c r="A46" t="s">
        <v>3</v>
      </c>
      <c r="B46">
        <v>101</v>
      </c>
      <c r="C46">
        <v>14.25</v>
      </c>
      <c r="E46" s="5">
        <v>6</v>
      </c>
      <c r="F46" s="5">
        <v>5</v>
      </c>
      <c r="G46" s="5">
        <f t="shared" si="11"/>
        <v>630</v>
      </c>
      <c r="H46" s="5">
        <f t="shared" si="12"/>
        <v>24.695076595959932</v>
      </c>
      <c r="I46" s="9">
        <f t="shared" si="13"/>
        <v>0.12992000000000001</v>
      </c>
      <c r="J46" s="7">
        <f t="shared" si="14"/>
        <v>18.196637263540893</v>
      </c>
    </row>
    <row r="47" spans="1:17" x14ac:dyDescent="0.2">
      <c r="A47" t="s">
        <v>3</v>
      </c>
      <c r="B47">
        <v>102</v>
      </c>
      <c r="C47">
        <v>14.25</v>
      </c>
      <c r="E47" s="5">
        <v>7</v>
      </c>
      <c r="F47" s="5">
        <v>6</v>
      </c>
      <c r="G47" s="5">
        <f t="shared" si="11"/>
        <v>756</v>
      </c>
      <c r="H47" s="5">
        <f t="shared" si="12"/>
        <v>24.695076595959932</v>
      </c>
      <c r="I47" s="9">
        <f t="shared" si="13"/>
        <v>0.12989999999999999</v>
      </c>
      <c r="J47" s="7">
        <f t="shared" si="14"/>
        <v>17.11947143250601</v>
      </c>
    </row>
    <row r="48" spans="1:17" x14ac:dyDescent="0.2">
      <c r="A48" t="s">
        <v>3</v>
      </c>
      <c r="B48">
        <v>103</v>
      </c>
      <c r="C48">
        <v>14.25</v>
      </c>
      <c r="E48" s="5">
        <v>8</v>
      </c>
      <c r="F48" s="5">
        <v>7</v>
      </c>
      <c r="G48" s="5">
        <f t="shared" si="11"/>
        <v>882</v>
      </c>
      <c r="H48" s="5">
        <f t="shared" si="12"/>
        <v>24.695076595959932</v>
      </c>
      <c r="I48" s="9">
        <f t="shared" si="13"/>
        <v>0.13</v>
      </c>
      <c r="J48" s="7">
        <f t="shared" si="14"/>
        <v>16.100368841400936</v>
      </c>
    </row>
    <row r="49" spans="1:16" x14ac:dyDescent="0.2">
      <c r="A49" t="s">
        <v>3</v>
      </c>
      <c r="B49">
        <v>104</v>
      </c>
      <c r="C49">
        <v>14.24</v>
      </c>
      <c r="E49" s="5">
        <v>9</v>
      </c>
      <c r="F49" s="5">
        <v>8</v>
      </c>
      <c r="G49" s="5">
        <f t="shared" si="11"/>
        <v>1008</v>
      </c>
      <c r="H49" s="5">
        <f t="shared" si="12"/>
        <v>524.6950765959599</v>
      </c>
      <c r="I49" s="9">
        <f t="shared" si="13"/>
        <v>0.12998571428571429</v>
      </c>
      <c r="J49" s="7">
        <f t="shared" si="14"/>
        <v>321.82159065273339</v>
      </c>
    </row>
    <row r="50" spans="1:16" x14ac:dyDescent="0.2">
      <c r="A50" t="s">
        <v>3</v>
      </c>
      <c r="B50">
        <v>110</v>
      </c>
      <c r="C50">
        <v>14.24</v>
      </c>
      <c r="E50" s="5">
        <v>10</v>
      </c>
      <c r="F50" s="5">
        <v>9</v>
      </c>
      <c r="G50" s="5">
        <f t="shared" si="11"/>
        <v>1134</v>
      </c>
      <c r="H50" s="5">
        <f t="shared" si="12"/>
        <v>512.34753829798001</v>
      </c>
      <c r="I50" s="9">
        <f t="shared" si="13"/>
        <v>0.13007272727272728</v>
      </c>
      <c r="J50" s="7">
        <f t="shared" si="14"/>
        <v>295.51932155601259</v>
      </c>
    </row>
    <row r="51" spans="1:16" x14ac:dyDescent="0.2">
      <c r="A51" t="s">
        <v>3</v>
      </c>
      <c r="B51">
        <v>111</v>
      </c>
      <c r="C51">
        <v>14.23</v>
      </c>
      <c r="I51" s="11" t="s">
        <v>25</v>
      </c>
      <c r="J51" s="7">
        <f>SUM(J42:J50)</f>
        <v>753.49558401982472</v>
      </c>
    </row>
    <row r="52" spans="1:16" x14ac:dyDescent="0.2">
      <c r="A52" t="s">
        <v>3</v>
      </c>
      <c r="B52">
        <v>119</v>
      </c>
      <c r="C52">
        <v>14.22</v>
      </c>
    </row>
    <row r="53" spans="1:16" x14ac:dyDescent="0.2">
      <c r="A53" t="s">
        <v>3</v>
      </c>
      <c r="B53">
        <v>120</v>
      </c>
      <c r="C53">
        <v>14.21</v>
      </c>
      <c r="F53" t="s">
        <v>12</v>
      </c>
    </row>
    <row r="54" spans="1:16" x14ac:dyDescent="0.2">
      <c r="A54" t="s">
        <v>3</v>
      </c>
      <c r="B54">
        <v>121</v>
      </c>
      <c r="C54">
        <v>14.21</v>
      </c>
      <c r="F54" t="s">
        <v>4</v>
      </c>
      <c r="G54">
        <v>0</v>
      </c>
      <c r="H54">
        <v>1</v>
      </c>
      <c r="I54">
        <v>2</v>
      </c>
      <c r="J54">
        <v>3</v>
      </c>
      <c r="K54">
        <v>4</v>
      </c>
      <c r="L54">
        <v>5</v>
      </c>
      <c r="M54">
        <v>6</v>
      </c>
      <c r="N54">
        <v>7</v>
      </c>
      <c r="O54">
        <v>8</v>
      </c>
      <c r="P54">
        <v>9</v>
      </c>
    </row>
    <row r="55" spans="1:16" x14ac:dyDescent="0.2">
      <c r="A55" t="s">
        <v>3</v>
      </c>
      <c r="B55">
        <v>123</v>
      </c>
      <c r="C55">
        <v>14.21</v>
      </c>
      <c r="G55" s="3">
        <f>J51*-1</f>
        <v>-753.49558401982472</v>
      </c>
      <c r="H55" cm="1">
        <f t="array" ref="H55:P55">TRANSPOSE(H42:H50)</f>
        <v>24.695076595959932</v>
      </c>
      <c r="I55">
        <v>24.695076595959932</v>
      </c>
      <c r="J55">
        <v>24.695076595959932</v>
      </c>
      <c r="K55">
        <v>24.695076595959932</v>
      </c>
      <c r="L55">
        <v>24.695076595959932</v>
      </c>
      <c r="M55">
        <v>24.695076595959932</v>
      </c>
      <c r="N55">
        <v>24.695076595959932</v>
      </c>
      <c r="O55">
        <v>524.6950765959599</v>
      </c>
      <c r="P55">
        <v>512.34753829798001</v>
      </c>
    </row>
    <row r="56" spans="1:16" x14ac:dyDescent="0.2">
      <c r="A56" t="s">
        <v>3</v>
      </c>
      <c r="B56">
        <v>124</v>
      </c>
      <c r="C56">
        <v>14.2</v>
      </c>
      <c r="F56" t="s">
        <v>26</v>
      </c>
      <c r="G56" s="2">
        <f>IRR(G55:P55)</f>
        <v>6.3071381639853596E-2</v>
      </c>
    </row>
    <row r="57" spans="1:16" x14ac:dyDescent="0.2">
      <c r="A57" t="s">
        <v>3</v>
      </c>
      <c r="B57">
        <v>129</v>
      </c>
      <c r="C57">
        <v>14.19</v>
      </c>
      <c r="F57" t="s">
        <v>13</v>
      </c>
      <c r="G57" s="2">
        <f>(1+G56)^(2)-1</f>
        <v>0.13012076246166715</v>
      </c>
    </row>
    <row r="58" spans="1:16" x14ac:dyDescent="0.2">
      <c r="A58" t="s">
        <v>3</v>
      </c>
      <c r="B58">
        <v>131</v>
      </c>
      <c r="C58">
        <v>14.19</v>
      </c>
    </row>
    <row r="59" spans="1:16" x14ac:dyDescent="0.2">
      <c r="A59" t="s">
        <v>3</v>
      </c>
      <c r="B59">
        <v>132</v>
      </c>
      <c r="C59">
        <v>14.19</v>
      </c>
      <c r="E59" s="11" t="s">
        <v>49</v>
      </c>
      <c r="F59" s="6">
        <f>(H42+J51-L28)/L28</f>
        <v>0.1035458317813725</v>
      </c>
    </row>
    <row r="60" spans="1:16" x14ac:dyDescent="0.2">
      <c r="A60" t="s">
        <v>3</v>
      </c>
      <c r="B60">
        <v>141</v>
      </c>
      <c r="C60">
        <v>14.17</v>
      </c>
      <c r="E60" s="11" t="s">
        <v>50</v>
      </c>
      <c r="F60" s="12">
        <f>(F59+1)^(2)-1</f>
        <v>0.21781340284204109</v>
      </c>
    </row>
    <row r="61" spans="1:16" x14ac:dyDescent="0.2">
      <c r="A61" t="s">
        <v>3</v>
      </c>
      <c r="B61">
        <v>143</v>
      </c>
      <c r="C61">
        <v>14.17</v>
      </c>
    </row>
    <row r="62" spans="1:16" x14ac:dyDescent="0.2">
      <c r="A62" t="s">
        <v>3</v>
      </c>
      <c r="B62">
        <v>144</v>
      </c>
      <c r="C62">
        <v>14.17</v>
      </c>
      <c r="F62" s="22"/>
    </row>
    <row r="63" spans="1:16" x14ac:dyDescent="0.2">
      <c r="A63" t="s">
        <v>3</v>
      </c>
      <c r="B63">
        <v>145</v>
      </c>
      <c r="C63">
        <v>14.17</v>
      </c>
      <c r="F63" s="22"/>
    </row>
    <row r="64" spans="1:16" x14ac:dyDescent="0.2">
      <c r="A64" t="s">
        <v>3</v>
      </c>
      <c r="B64">
        <v>150</v>
      </c>
      <c r="C64">
        <v>14.16</v>
      </c>
      <c r="F64" s="13"/>
    </row>
    <row r="65" spans="1:21" x14ac:dyDescent="0.2">
      <c r="A65" t="s">
        <v>3</v>
      </c>
      <c r="B65">
        <v>151</v>
      </c>
      <c r="C65">
        <v>14.16</v>
      </c>
    </row>
    <row r="66" spans="1:21" x14ac:dyDescent="0.2">
      <c r="A66" t="s">
        <v>3</v>
      </c>
      <c r="B66">
        <v>161</v>
      </c>
      <c r="C66">
        <v>14.14</v>
      </c>
      <c r="F66" s="14"/>
    </row>
    <row r="67" spans="1:21" x14ac:dyDescent="0.2">
      <c r="A67" t="s">
        <v>3</v>
      </c>
      <c r="B67">
        <v>162</v>
      </c>
      <c r="C67">
        <v>14.13</v>
      </c>
      <c r="F67" s="14"/>
    </row>
    <row r="68" spans="1:21" x14ac:dyDescent="0.2">
      <c r="A68" t="s">
        <v>3</v>
      </c>
      <c r="B68">
        <v>164</v>
      </c>
      <c r="C68">
        <v>14.13</v>
      </c>
      <c r="F68" s="14"/>
    </row>
    <row r="69" spans="1:21" x14ac:dyDescent="0.2">
      <c r="A69" t="s">
        <v>3</v>
      </c>
      <c r="B69">
        <v>165</v>
      </c>
      <c r="C69">
        <v>14.13</v>
      </c>
      <c r="F69" s="14"/>
    </row>
    <row r="70" spans="1:21" x14ac:dyDescent="0.2">
      <c r="A70" t="s">
        <v>3</v>
      </c>
      <c r="B70">
        <v>169</v>
      </c>
      <c r="C70">
        <v>14.12</v>
      </c>
      <c r="F70" s="18"/>
    </row>
    <row r="71" spans="1:21" x14ac:dyDescent="0.2">
      <c r="A71" t="s">
        <v>3</v>
      </c>
      <c r="B71">
        <v>170</v>
      </c>
      <c r="C71">
        <v>14.11</v>
      </c>
      <c r="F71" s="4"/>
      <c r="G71" s="13"/>
    </row>
    <row r="72" spans="1:21" x14ac:dyDescent="0.2">
      <c r="A72" t="s">
        <v>3</v>
      </c>
      <c r="B72">
        <v>171</v>
      </c>
      <c r="C72">
        <v>14.11</v>
      </c>
      <c r="F72" s="3"/>
    </row>
    <row r="73" spans="1:21" x14ac:dyDescent="0.2">
      <c r="A73" t="s">
        <v>3</v>
      </c>
      <c r="B73">
        <v>173</v>
      </c>
      <c r="C73">
        <v>14.11</v>
      </c>
      <c r="F73" s="13"/>
    </row>
    <row r="74" spans="1:21" x14ac:dyDescent="0.2">
      <c r="A74" t="s">
        <v>3</v>
      </c>
      <c r="B74">
        <v>182</v>
      </c>
      <c r="C74">
        <v>14.09</v>
      </c>
      <c r="F74" s="13"/>
    </row>
    <row r="75" spans="1:21" x14ac:dyDescent="0.2">
      <c r="A75" t="s">
        <v>3</v>
      </c>
      <c r="B75">
        <v>184</v>
      </c>
      <c r="C75">
        <v>14.09</v>
      </c>
      <c r="F75" s="19"/>
    </row>
    <row r="76" spans="1:21" x14ac:dyDescent="0.2">
      <c r="A76" t="s">
        <v>3</v>
      </c>
      <c r="B76">
        <v>192</v>
      </c>
      <c r="C76">
        <v>14.07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1:21" x14ac:dyDescent="0.2">
      <c r="A77" t="s">
        <v>3</v>
      </c>
      <c r="B77">
        <v>193</v>
      </c>
      <c r="C77">
        <v>14.07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 spans="1:21" x14ac:dyDescent="0.2">
      <c r="A78" t="s">
        <v>3</v>
      </c>
      <c r="B78">
        <v>201</v>
      </c>
      <c r="C78">
        <v>14.06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spans="1:21" x14ac:dyDescent="0.2">
      <c r="A79" t="s">
        <v>3</v>
      </c>
      <c r="B79">
        <v>202</v>
      </c>
      <c r="C79">
        <v>14.06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spans="1:21" x14ac:dyDescent="0.2">
      <c r="A80" t="s">
        <v>3</v>
      </c>
      <c r="B80">
        <v>203</v>
      </c>
      <c r="C80">
        <v>14.06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 spans="1:3" x14ac:dyDescent="0.2">
      <c r="A81" t="s">
        <v>3</v>
      </c>
      <c r="B81">
        <v>204</v>
      </c>
      <c r="C81">
        <v>14.06</v>
      </c>
    </row>
    <row r="82" spans="1:3" x14ac:dyDescent="0.2">
      <c r="A82" t="s">
        <v>3</v>
      </c>
      <c r="B82">
        <v>208</v>
      </c>
      <c r="C82">
        <v>14.05</v>
      </c>
    </row>
    <row r="83" spans="1:3" x14ac:dyDescent="0.2">
      <c r="A83" t="s">
        <v>3</v>
      </c>
      <c r="B83">
        <v>209</v>
      </c>
      <c r="C83">
        <v>14.05</v>
      </c>
    </row>
    <row r="84" spans="1:3" x14ac:dyDescent="0.2">
      <c r="A84" t="s">
        <v>3</v>
      </c>
      <c r="B84">
        <v>210</v>
      </c>
      <c r="C84">
        <v>14.05</v>
      </c>
    </row>
    <row r="85" spans="1:3" x14ac:dyDescent="0.2">
      <c r="A85" t="s">
        <v>3</v>
      </c>
      <c r="B85">
        <v>211</v>
      </c>
      <c r="C85">
        <v>14.05</v>
      </c>
    </row>
    <row r="86" spans="1:3" x14ac:dyDescent="0.2">
      <c r="A86" t="s">
        <v>3</v>
      </c>
      <c r="B86">
        <v>221</v>
      </c>
      <c r="C86">
        <v>14.03</v>
      </c>
    </row>
    <row r="87" spans="1:3" x14ac:dyDescent="0.2">
      <c r="A87" t="s">
        <v>3</v>
      </c>
      <c r="B87">
        <v>225</v>
      </c>
      <c r="C87">
        <v>14.02</v>
      </c>
    </row>
    <row r="88" spans="1:3" x14ac:dyDescent="0.2">
      <c r="A88" t="s">
        <v>3</v>
      </c>
      <c r="B88">
        <v>226</v>
      </c>
      <c r="C88">
        <v>14.02</v>
      </c>
    </row>
    <row r="89" spans="1:3" x14ac:dyDescent="0.2">
      <c r="A89" t="s">
        <v>3</v>
      </c>
      <c r="B89">
        <v>232</v>
      </c>
      <c r="C89">
        <v>14.01</v>
      </c>
    </row>
    <row r="90" spans="1:3" x14ac:dyDescent="0.2">
      <c r="A90" t="s">
        <v>3</v>
      </c>
      <c r="B90">
        <v>233</v>
      </c>
      <c r="C90">
        <v>14.01</v>
      </c>
    </row>
    <row r="91" spans="1:3" x14ac:dyDescent="0.2">
      <c r="A91" t="s">
        <v>3</v>
      </c>
      <c r="B91">
        <v>242</v>
      </c>
      <c r="C91">
        <v>13.98</v>
      </c>
    </row>
    <row r="92" spans="1:3" x14ac:dyDescent="0.2">
      <c r="A92" t="s">
        <v>3</v>
      </c>
      <c r="B92">
        <v>244</v>
      </c>
      <c r="C92">
        <v>13.98</v>
      </c>
    </row>
    <row r="93" spans="1:3" x14ac:dyDescent="0.2">
      <c r="A93" t="s">
        <v>3</v>
      </c>
      <c r="B93">
        <v>245</v>
      </c>
      <c r="C93">
        <v>13.98</v>
      </c>
    </row>
    <row r="94" spans="1:3" x14ac:dyDescent="0.2">
      <c r="A94" t="s">
        <v>3</v>
      </c>
      <c r="B94">
        <v>252</v>
      </c>
      <c r="C94">
        <v>13.96</v>
      </c>
    </row>
    <row r="95" spans="1:3" x14ac:dyDescent="0.2">
      <c r="A95" t="s">
        <v>3</v>
      </c>
      <c r="B95">
        <v>264</v>
      </c>
      <c r="C95">
        <v>13.94</v>
      </c>
    </row>
    <row r="96" spans="1:3" x14ac:dyDescent="0.2">
      <c r="A96" t="s">
        <v>3</v>
      </c>
      <c r="B96">
        <v>266</v>
      </c>
      <c r="C96">
        <v>13.93</v>
      </c>
    </row>
    <row r="97" spans="1:3" x14ac:dyDescent="0.2">
      <c r="A97" t="s">
        <v>3</v>
      </c>
      <c r="B97">
        <v>273</v>
      </c>
      <c r="C97">
        <v>13.92</v>
      </c>
    </row>
    <row r="98" spans="1:3" x14ac:dyDescent="0.2">
      <c r="A98" t="s">
        <v>3</v>
      </c>
      <c r="B98">
        <v>285</v>
      </c>
      <c r="C98">
        <v>13.9</v>
      </c>
    </row>
    <row r="99" spans="1:3" x14ac:dyDescent="0.2">
      <c r="A99" t="s">
        <v>3</v>
      </c>
      <c r="B99">
        <v>287</v>
      </c>
      <c r="C99">
        <v>13.89</v>
      </c>
    </row>
    <row r="100" spans="1:3" x14ac:dyDescent="0.2">
      <c r="A100" t="s">
        <v>3</v>
      </c>
      <c r="B100">
        <v>296</v>
      </c>
      <c r="C100">
        <v>13.88</v>
      </c>
    </row>
    <row r="101" spans="1:3" x14ac:dyDescent="0.2">
      <c r="A101" t="s">
        <v>3</v>
      </c>
      <c r="B101">
        <v>306</v>
      </c>
      <c r="C101">
        <v>13.85</v>
      </c>
    </row>
    <row r="102" spans="1:3" x14ac:dyDescent="0.2">
      <c r="A102" t="s">
        <v>3</v>
      </c>
      <c r="B102">
        <v>308</v>
      </c>
      <c r="C102">
        <v>13.85</v>
      </c>
    </row>
    <row r="103" spans="1:3" x14ac:dyDescent="0.2">
      <c r="A103" t="s">
        <v>3</v>
      </c>
      <c r="B103">
        <v>318</v>
      </c>
      <c r="C103">
        <v>13.83</v>
      </c>
    </row>
    <row r="104" spans="1:3" x14ac:dyDescent="0.2">
      <c r="A104" t="s">
        <v>3</v>
      </c>
      <c r="B104">
        <v>328</v>
      </c>
      <c r="C104">
        <v>13.81</v>
      </c>
    </row>
    <row r="105" spans="1:3" x14ac:dyDescent="0.2">
      <c r="A105" t="s">
        <v>3</v>
      </c>
      <c r="B105">
        <v>329</v>
      </c>
      <c r="C105">
        <v>13.81</v>
      </c>
    </row>
    <row r="106" spans="1:3" x14ac:dyDescent="0.2">
      <c r="A106" t="s">
        <v>3</v>
      </c>
      <c r="B106">
        <v>330</v>
      </c>
      <c r="C106">
        <v>13.81</v>
      </c>
    </row>
    <row r="107" spans="1:3" x14ac:dyDescent="0.2">
      <c r="A107" t="s">
        <v>3</v>
      </c>
      <c r="B107">
        <v>349</v>
      </c>
      <c r="C107">
        <v>13.78</v>
      </c>
    </row>
    <row r="108" spans="1:3" x14ac:dyDescent="0.2">
      <c r="A108" t="s">
        <v>3</v>
      </c>
      <c r="B108">
        <v>350</v>
      </c>
      <c r="C108">
        <v>13.78</v>
      </c>
    </row>
    <row r="109" spans="1:3" x14ac:dyDescent="0.2">
      <c r="A109" t="s">
        <v>3</v>
      </c>
      <c r="B109">
        <v>354</v>
      </c>
      <c r="C109">
        <v>13.77</v>
      </c>
    </row>
    <row r="110" spans="1:3" x14ac:dyDescent="0.2">
      <c r="A110" t="s">
        <v>3</v>
      </c>
      <c r="B110">
        <v>361</v>
      </c>
      <c r="C110">
        <v>13.77</v>
      </c>
    </row>
    <row r="111" spans="1:3" x14ac:dyDescent="0.2">
      <c r="A111" t="s">
        <v>3</v>
      </c>
      <c r="B111">
        <v>368</v>
      </c>
      <c r="C111">
        <v>13.75</v>
      </c>
    </row>
    <row r="112" spans="1:3" x14ac:dyDescent="0.2">
      <c r="A112" t="s">
        <v>3</v>
      </c>
      <c r="B112">
        <v>371</v>
      </c>
      <c r="C112">
        <v>13.74</v>
      </c>
    </row>
    <row r="113" spans="1:3" x14ac:dyDescent="0.2">
      <c r="A113" t="s">
        <v>3</v>
      </c>
      <c r="B113">
        <v>381</v>
      </c>
      <c r="C113">
        <v>13.72</v>
      </c>
    </row>
    <row r="114" spans="1:3" x14ac:dyDescent="0.2">
      <c r="A114" t="s">
        <v>3</v>
      </c>
      <c r="B114">
        <v>390</v>
      </c>
      <c r="C114">
        <v>13.7</v>
      </c>
    </row>
    <row r="115" spans="1:3" x14ac:dyDescent="0.2">
      <c r="A115" t="s">
        <v>3</v>
      </c>
      <c r="B115">
        <v>401</v>
      </c>
      <c r="C115">
        <v>13.67</v>
      </c>
    </row>
    <row r="116" spans="1:3" x14ac:dyDescent="0.2">
      <c r="A116" t="s">
        <v>3</v>
      </c>
      <c r="B116">
        <v>411</v>
      </c>
      <c r="C116">
        <v>13.66</v>
      </c>
    </row>
    <row r="117" spans="1:3" x14ac:dyDescent="0.2">
      <c r="A117" t="s">
        <v>3</v>
      </c>
      <c r="B117">
        <v>424</v>
      </c>
      <c r="C117">
        <v>13.65</v>
      </c>
    </row>
    <row r="118" spans="1:3" x14ac:dyDescent="0.2">
      <c r="A118" t="s">
        <v>3</v>
      </c>
      <c r="B118">
        <v>433</v>
      </c>
      <c r="C118">
        <v>13.64</v>
      </c>
    </row>
    <row r="119" spans="1:3" x14ac:dyDescent="0.2">
      <c r="A119" t="s">
        <v>3</v>
      </c>
      <c r="B119">
        <v>454</v>
      </c>
      <c r="C119">
        <v>13.61</v>
      </c>
    </row>
    <row r="120" spans="1:3" x14ac:dyDescent="0.2">
      <c r="A120" t="s">
        <v>3</v>
      </c>
      <c r="B120">
        <v>455</v>
      </c>
      <c r="C120">
        <v>13.61</v>
      </c>
    </row>
    <row r="121" spans="1:3" x14ac:dyDescent="0.2">
      <c r="A121" t="s">
        <v>3</v>
      </c>
      <c r="B121">
        <v>456</v>
      </c>
      <c r="C121">
        <v>13.61</v>
      </c>
    </row>
    <row r="122" spans="1:3" x14ac:dyDescent="0.2">
      <c r="A122" t="s">
        <v>3</v>
      </c>
      <c r="B122">
        <v>473</v>
      </c>
      <c r="C122">
        <v>13.6</v>
      </c>
    </row>
    <row r="123" spans="1:3" x14ac:dyDescent="0.2">
      <c r="A123" t="s">
        <v>3</v>
      </c>
      <c r="B123">
        <v>474</v>
      </c>
      <c r="C123">
        <v>13.59</v>
      </c>
    </row>
    <row r="124" spans="1:3" x14ac:dyDescent="0.2">
      <c r="A124" t="s">
        <v>3</v>
      </c>
      <c r="B124">
        <v>487</v>
      </c>
      <c r="C124">
        <v>13.58</v>
      </c>
    </row>
    <row r="125" spans="1:3" x14ac:dyDescent="0.2">
      <c r="A125" t="s">
        <v>3</v>
      </c>
      <c r="B125">
        <v>494</v>
      </c>
      <c r="C125">
        <v>13.58</v>
      </c>
    </row>
    <row r="126" spans="1:3" x14ac:dyDescent="0.2">
      <c r="A126" t="s">
        <v>3</v>
      </c>
      <c r="B126">
        <v>495</v>
      </c>
      <c r="C126">
        <v>13.58</v>
      </c>
    </row>
    <row r="127" spans="1:3" x14ac:dyDescent="0.2">
      <c r="A127" t="s">
        <v>3</v>
      </c>
      <c r="B127">
        <v>514</v>
      </c>
      <c r="C127">
        <v>13.56</v>
      </c>
    </row>
    <row r="128" spans="1:3" x14ac:dyDescent="0.2">
      <c r="A128" t="s">
        <v>3</v>
      </c>
      <c r="B128">
        <v>527</v>
      </c>
      <c r="C128">
        <v>13.55</v>
      </c>
    </row>
    <row r="129" spans="1:3" x14ac:dyDescent="0.2">
      <c r="A129" t="s">
        <v>3</v>
      </c>
      <c r="B129">
        <v>534</v>
      </c>
      <c r="C129">
        <v>13.54</v>
      </c>
    </row>
    <row r="130" spans="1:3" x14ac:dyDescent="0.2">
      <c r="A130" t="s">
        <v>3</v>
      </c>
      <c r="B130">
        <v>536</v>
      </c>
      <c r="C130">
        <v>13.54</v>
      </c>
    </row>
    <row r="131" spans="1:3" x14ac:dyDescent="0.2">
      <c r="A131" t="s">
        <v>3</v>
      </c>
      <c r="B131">
        <v>540</v>
      </c>
      <c r="C131">
        <v>13.54</v>
      </c>
    </row>
    <row r="132" spans="1:3" x14ac:dyDescent="0.2">
      <c r="A132" t="s">
        <v>3</v>
      </c>
      <c r="B132">
        <v>548</v>
      </c>
      <c r="C132">
        <v>13.53</v>
      </c>
    </row>
    <row r="133" spans="1:3" x14ac:dyDescent="0.2">
      <c r="A133" t="s">
        <v>3</v>
      </c>
      <c r="B133">
        <v>555</v>
      </c>
      <c r="C133">
        <v>13.53</v>
      </c>
    </row>
    <row r="134" spans="1:3" x14ac:dyDescent="0.2">
      <c r="A134" t="s">
        <v>3</v>
      </c>
      <c r="B134">
        <v>577</v>
      </c>
      <c r="C134">
        <v>13.52</v>
      </c>
    </row>
    <row r="135" spans="1:3" x14ac:dyDescent="0.2">
      <c r="A135" t="s">
        <v>3</v>
      </c>
      <c r="B135">
        <v>579</v>
      </c>
      <c r="C135">
        <v>13.52</v>
      </c>
    </row>
    <row r="136" spans="1:3" x14ac:dyDescent="0.2">
      <c r="A136" t="s">
        <v>3</v>
      </c>
      <c r="B136">
        <v>592</v>
      </c>
      <c r="C136">
        <v>13.52</v>
      </c>
    </row>
    <row r="137" spans="1:3" x14ac:dyDescent="0.2">
      <c r="A137" t="s">
        <v>3</v>
      </c>
      <c r="B137">
        <v>597</v>
      </c>
      <c r="C137">
        <v>13.51</v>
      </c>
    </row>
    <row r="138" spans="1:3" x14ac:dyDescent="0.2">
      <c r="A138" t="s">
        <v>3</v>
      </c>
      <c r="B138">
        <v>604</v>
      </c>
      <c r="C138">
        <v>13.51</v>
      </c>
    </row>
    <row r="139" spans="1:3" x14ac:dyDescent="0.2">
      <c r="A139" t="s">
        <v>3</v>
      </c>
      <c r="B139">
        <v>612</v>
      </c>
      <c r="C139">
        <v>13.51</v>
      </c>
    </row>
    <row r="140" spans="1:3" x14ac:dyDescent="0.2">
      <c r="A140" t="s">
        <v>3</v>
      </c>
      <c r="B140">
        <v>618</v>
      </c>
      <c r="C140">
        <v>13.5</v>
      </c>
    </row>
    <row r="141" spans="1:3" x14ac:dyDescent="0.2">
      <c r="A141" t="s">
        <v>3</v>
      </c>
      <c r="B141">
        <v>633</v>
      </c>
      <c r="C141">
        <v>13.49</v>
      </c>
    </row>
    <row r="142" spans="1:3" x14ac:dyDescent="0.2">
      <c r="A142" t="s">
        <v>3</v>
      </c>
      <c r="B142">
        <v>638</v>
      </c>
      <c r="C142">
        <v>13.49</v>
      </c>
    </row>
    <row r="143" spans="1:3" x14ac:dyDescent="0.2">
      <c r="A143" t="s">
        <v>3</v>
      </c>
      <c r="B143">
        <v>642</v>
      </c>
      <c r="C143">
        <v>13.49</v>
      </c>
    </row>
    <row r="144" spans="1:3" x14ac:dyDescent="0.2">
      <c r="A144" t="s">
        <v>3</v>
      </c>
      <c r="B144">
        <v>652</v>
      </c>
      <c r="C144">
        <v>13.48</v>
      </c>
    </row>
    <row r="145" spans="1:3" x14ac:dyDescent="0.2">
      <c r="A145" t="s">
        <v>3</v>
      </c>
      <c r="B145">
        <v>658</v>
      </c>
      <c r="C145">
        <v>13.48</v>
      </c>
    </row>
    <row r="146" spans="1:3" x14ac:dyDescent="0.2">
      <c r="A146" t="s">
        <v>3</v>
      </c>
      <c r="B146">
        <v>672</v>
      </c>
      <c r="C146">
        <v>13.48</v>
      </c>
    </row>
    <row r="147" spans="1:3" x14ac:dyDescent="0.2">
      <c r="A147" t="s">
        <v>3</v>
      </c>
      <c r="B147">
        <v>676</v>
      </c>
      <c r="C147">
        <v>13.48</v>
      </c>
    </row>
    <row r="148" spans="1:3" x14ac:dyDescent="0.2">
      <c r="A148" t="s">
        <v>3</v>
      </c>
      <c r="B148">
        <v>698</v>
      </c>
      <c r="C148">
        <v>13.49</v>
      </c>
    </row>
    <row r="149" spans="1:3" x14ac:dyDescent="0.2">
      <c r="A149" t="s">
        <v>3</v>
      </c>
      <c r="B149">
        <v>702</v>
      </c>
      <c r="C149">
        <v>13.49</v>
      </c>
    </row>
    <row r="150" spans="1:3" x14ac:dyDescent="0.2">
      <c r="A150" t="s">
        <v>3</v>
      </c>
      <c r="B150">
        <v>718</v>
      </c>
      <c r="C150">
        <v>13.49</v>
      </c>
    </row>
    <row r="151" spans="1:3" x14ac:dyDescent="0.2">
      <c r="A151" t="s">
        <v>3</v>
      </c>
      <c r="B151">
        <v>733</v>
      </c>
      <c r="C151">
        <v>13.49</v>
      </c>
    </row>
    <row r="152" spans="1:3" x14ac:dyDescent="0.2">
      <c r="A152" t="s">
        <v>3</v>
      </c>
      <c r="B152">
        <v>738</v>
      </c>
      <c r="C152">
        <v>13.49</v>
      </c>
    </row>
    <row r="153" spans="1:3" x14ac:dyDescent="0.2">
      <c r="A153" t="s">
        <v>3</v>
      </c>
      <c r="B153">
        <v>758</v>
      </c>
      <c r="C153">
        <v>13.49</v>
      </c>
    </row>
    <row r="154" spans="1:3" x14ac:dyDescent="0.2">
      <c r="A154" t="s">
        <v>3</v>
      </c>
      <c r="B154">
        <v>763</v>
      </c>
      <c r="C154">
        <v>13.49</v>
      </c>
    </row>
    <row r="155" spans="1:3" x14ac:dyDescent="0.2">
      <c r="A155" t="s">
        <v>3</v>
      </c>
      <c r="B155">
        <v>779</v>
      </c>
      <c r="C155">
        <v>13.49</v>
      </c>
    </row>
    <row r="156" spans="1:3" x14ac:dyDescent="0.2">
      <c r="A156" t="s">
        <v>3</v>
      </c>
      <c r="B156">
        <v>796</v>
      </c>
      <c r="C156">
        <v>13.49</v>
      </c>
    </row>
    <row r="157" spans="1:3" x14ac:dyDescent="0.2">
      <c r="A157" t="s">
        <v>3</v>
      </c>
      <c r="B157">
        <v>801</v>
      </c>
      <c r="C157">
        <v>13.5</v>
      </c>
    </row>
    <row r="158" spans="1:3" x14ac:dyDescent="0.2">
      <c r="A158" t="s">
        <v>3</v>
      </c>
      <c r="B158">
        <v>818</v>
      </c>
      <c r="C158">
        <v>13.5</v>
      </c>
    </row>
    <row r="159" spans="1:3" x14ac:dyDescent="0.2">
      <c r="A159" t="s">
        <v>3</v>
      </c>
      <c r="B159">
        <v>821</v>
      </c>
      <c r="C159">
        <v>13.5</v>
      </c>
    </row>
    <row r="160" spans="1:3" x14ac:dyDescent="0.2">
      <c r="A160" t="s">
        <v>3</v>
      </c>
      <c r="B160">
        <v>828</v>
      </c>
      <c r="C160">
        <v>13.5</v>
      </c>
    </row>
    <row r="161" spans="1:3" x14ac:dyDescent="0.2">
      <c r="A161" t="s">
        <v>3</v>
      </c>
      <c r="B161">
        <v>860</v>
      </c>
      <c r="C161">
        <v>13.5</v>
      </c>
    </row>
    <row r="162" spans="1:3" x14ac:dyDescent="0.2">
      <c r="A162" t="s">
        <v>3</v>
      </c>
      <c r="B162">
        <v>882</v>
      </c>
      <c r="C162">
        <v>13.5</v>
      </c>
    </row>
    <row r="163" spans="1:3" x14ac:dyDescent="0.2">
      <c r="A163" t="s">
        <v>3</v>
      </c>
      <c r="B163">
        <v>891</v>
      </c>
      <c r="C163">
        <v>13.5</v>
      </c>
    </row>
    <row r="164" spans="1:3" x14ac:dyDescent="0.2">
      <c r="A164" t="s">
        <v>3</v>
      </c>
      <c r="B164">
        <v>901</v>
      </c>
      <c r="C164">
        <v>13.5</v>
      </c>
    </row>
    <row r="165" spans="1:3" x14ac:dyDescent="0.2">
      <c r="A165" t="s">
        <v>3</v>
      </c>
      <c r="B165">
        <v>921</v>
      </c>
      <c r="C165">
        <v>13.5</v>
      </c>
    </row>
    <row r="166" spans="1:3" x14ac:dyDescent="0.2">
      <c r="A166" t="s">
        <v>3</v>
      </c>
      <c r="B166">
        <v>953</v>
      </c>
      <c r="C166">
        <v>13.49</v>
      </c>
    </row>
    <row r="167" spans="1:3" x14ac:dyDescent="0.2">
      <c r="A167" t="s">
        <v>3</v>
      </c>
      <c r="B167">
        <v>982</v>
      </c>
      <c r="C167">
        <v>13.49</v>
      </c>
    </row>
    <row r="168" spans="1:3" x14ac:dyDescent="0.2">
      <c r="A168" t="s">
        <v>3</v>
      </c>
      <c r="B168">
        <v>984</v>
      </c>
      <c r="C168">
        <v>13.49</v>
      </c>
    </row>
    <row r="169" spans="1:3" x14ac:dyDescent="0.2">
      <c r="A169" t="s">
        <v>3</v>
      </c>
      <c r="B169">
        <v>1012</v>
      </c>
      <c r="C169">
        <v>13.5</v>
      </c>
    </row>
    <row r="170" spans="1:3" x14ac:dyDescent="0.2">
      <c r="A170" t="s">
        <v>3</v>
      </c>
      <c r="B170">
        <v>1044</v>
      </c>
      <c r="C170">
        <v>13.51</v>
      </c>
    </row>
    <row r="171" spans="1:3" x14ac:dyDescent="0.2">
      <c r="A171" t="s">
        <v>3</v>
      </c>
      <c r="B171">
        <v>1077</v>
      </c>
      <c r="C171">
        <v>13.51</v>
      </c>
    </row>
    <row r="172" spans="1:3" x14ac:dyDescent="0.2">
      <c r="A172" t="s">
        <v>3</v>
      </c>
      <c r="B172">
        <v>1101</v>
      </c>
      <c r="C172">
        <v>13.51</v>
      </c>
    </row>
    <row r="173" spans="1:3" x14ac:dyDescent="0.2">
      <c r="A173" t="s">
        <v>3</v>
      </c>
      <c r="B173">
        <v>1110</v>
      </c>
      <c r="C173">
        <v>13.5</v>
      </c>
    </row>
    <row r="174" spans="1:3" x14ac:dyDescent="0.2">
      <c r="A174" t="s">
        <v>3</v>
      </c>
      <c r="B174">
        <v>1143</v>
      </c>
      <c r="C174">
        <v>13.51</v>
      </c>
    </row>
    <row r="175" spans="1:3" x14ac:dyDescent="0.2">
      <c r="A175" t="s">
        <v>3</v>
      </c>
      <c r="B175">
        <v>1164</v>
      </c>
      <c r="C175">
        <v>13.52</v>
      </c>
    </row>
    <row r="176" spans="1:3" x14ac:dyDescent="0.2">
      <c r="A176" t="s">
        <v>3</v>
      </c>
      <c r="B176">
        <v>1173</v>
      </c>
      <c r="C176">
        <v>13.52</v>
      </c>
    </row>
    <row r="177" spans="1:3" x14ac:dyDescent="0.2">
      <c r="A177" t="s">
        <v>3</v>
      </c>
      <c r="B177">
        <v>1205</v>
      </c>
      <c r="C177">
        <v>13.53</v>
      </c>
    </row>
    <row r="178" spans="1:3" x14ac:dyDescent="0.2">
      <c r="A178" t="s">
        <v>3</v>
      </c>
      <c r="B178">
        <v>1225</v>
      </c>
      <c r="C178">
        <v>13.53</v>
      </c>
    </row>
    <row r="179" spans="1:3" x14ac:dyDescent="0.2">
      <c r="A179" t="s">
        <v>3</v>
      </c>
      <c r="B179">
        <v>1233</v>
      </c>
      <c r="C179">
        <v>13.53</v>
      </c>
    </row>
    <row r="180" spans="1:3" x14ac:dyDescent="0.2">
      <c r="A180" t="s">
        <v>3</v>
      </c>
      <c r="B180">
        <v>1234</v>
      </c>
      <c r="C180">
        <v>13.53</v>
      </c>
    </row>
    <row r="181" spans="1:3" x14ac:dyDescent="0.2">
      <c r="A181" t="s">
        <v>3</v>
      </c>
      <c r="B181">
        <v>1263</v>
      </c>
      <c r="C181">
        <v>13.53</v>
      </c>
    </row>
    <row r="182" spans="1:3" x14ac:dyDescent="0.2">
      <c r="A182" t="s">
        <v>3</v>
      </c>
      <c r="B182">
        <v>1275</v>
      </c>
      <c r="C182">
        <v>13.54</v>
      </c>
    </row>
    <row r="183" spans="1:3" x14ac:dyDescent="0.2">
      <c r="A183" t="s">
        <v>3</v>
      </c>
      <c r="B183">
        <v>1286</v>
      </c>
      <c r="C183">
        <v>13.54</v>
      </c>
    </row>
    <row r="184" spans="1:3" x14ac:dyDescent="0.2">
      <c r="A184" t="s">
        <v>3</v>
      </c>
      <c r="B184">
        <v>1295</v>
      </c>
      <c r="C184">
        <v>13.54</v>
      </c>
    </row>
    <row r="185" spans="1:3" x14ac:dyDescent="0.2">
      <c r="A185" t="s">
        <v>3</v>
      </c>
      <c r="B185">
        <v>1328</v>
      </c>
      <c r="C185">
        <v>13.54</v>
      </c>
    </row>
    <row r="186" spans="1:3" x14ac:dyDescent="0.2">
      <c r="A186" t="s">
        <v>3</v>
      </c>
      <c r="B186">
        <v>1339</v>
      </c>
      <c r="C186">
        <v>13.55</v>
      </c>
    </row>
    <row r="187" spans="1:3" x14ac:dyDescent="0.2">
      <c r="A187" t="s">
        <v>3</v>
      </c>
      <c r="B187">
        <v>1351</v>
      </c>
      <c r="C187">
        <v>13.55</v>
      </c>
    </row>
    <row r="188" spans="1:3" x14ac:dyDescent="0.2">
      <c r="A188" t="s">
        <v>3</v>
      </c>
      <c r="B188">
        <v>1361</v>
      </c>
      <c r="C188">
        <v>13.55</v>
      </c>
    </row>
    <row r="189" spans="1:3" x14ac:dyDescent="0.2">
      <c r="A189" t="s">
        <v>3</v>
      </c>
      <c r="B189">
        <v>1394</v>
      </c>
      <c r="C189">
        <v>13.56</v>
      </c>
    </row>
    <row r="190" spans="1:3" x14ac:dyDescent="0.2">
      <c r="A190" t="s">
        <v>3</v>
      </c>
      <c r="B190">
        <v>1425</v>
      </c>
      <c r="C190">
        <v>13.57</v>
      </c>
    </row>
    <row r="191" spans="1:3" x14ac:dyDescent="0.2">
      <c r="A191" t="s">
        <v>3</v>
      </c>
      <c r="B191">
        <v>1454</v>
      </c>
      <c r="C191">
        <v>13.57</v>
      </c>
    </row>
    <row r="192" spans="1:3" x14ac:dyDescent="0.2">
      <c r="A192" t="s">
        <v>3</v>
      </c>
      <c r="B192">
        <v>1480</v>
      </c>
      <c r="C192">
        <v>13.57</v>
      </c>
    </row>
    <row r="193" spans="1:3" x14ac:dyDescent="0.2">
      <c r="A193" t="s">
        <v>3</v>
      </c>
      <c r="B193">
        <v>1517</v>
      </c>
      <c r="C193">
        <v>13.58</v>
      </c>
    </row>
    <row r="194" spans="1:3" x14ac:dyDescent="0.2">
      <c r="A194" t="s">
        <v>3</v>
      </c>
      <c r="B194">
        <v>1581</v>
      </c>
      <c r="C194">
        <v>13.58</v>
      </c>
    </row>
    <row r="195" spans="1:3" x14ac:dyDescent="0.2">
      <c r="A195" t="s">
        <v>3</v>
      </c>
      <c r="B195">
        <v>1643</v>
      </c>
      <c r="C195">
        <v>13.59</v>
      </c>
    </row>
    <row r="196" spans="1:3" x14ac:dyDescent="0.2">
      <c r="A196" t="s">
        <v>3</v>
      </c>
      <c r="B196">
        <v>1677</v>
      </c>
      <c r="C196">
        <v>13.59</v>
      </c>
    </row>
    <row r="197" spans="1:3" x14ac:dyDescent="0.2">
      <c r="A197" t="s">
        <v>3</v>
      </c>
      <c r="B197">
        <v>1708</v>
      </c>
      <c r="C197">
        <v>13.59</v>
      </c>
    </row>
    <row r="198" spans="1:3" x14ac:dyDescent="0.2">
      <c r="A198" t="s">
        <v>3</v>
      </c>
      <c r="B198">
        <v>1729</v>
      </c>
      <c r="C198">
        <v>13.59</v>
      </c>
    </row>
    <row r="199" spans="1:3" x14ac:dyDescent="0.2">
      <c r="A199" t="s">
        <v>3</v>
      </c>
      <c r="B199">
        <v>1768</v>
      </c>
      <c r="C199">
        <v>13.59</v>
      </c>
    </row>
    <row r="200" spans="1:3" x14ac:dyDescent="0.2">
      <c r="A200" t="s">
        <v>3</v>
      </c>
      <c r="B200">
        <v>1832</v>
      </c>
      <c r="C200">
        <v>13.6</v>
      </c>
    </row>
    <row r="201" spans="1:3" x14ac:dyDescent="0.2">
      <c r="A201" t="s">
        <v>3</v>
      </c>
      <c r="B201">
        <v>1895</v>
      </c>
      <c r="C201">
        <v>13.6</v>
      </c>
    </row>
    <row r="202" spans="1:3" x14ac:dyDescent="0.2">
      <c r="A202" t="s">
        <v>3</v>
      </c>
      <c r="B202">
        <v>1928</v>
      </c>
      <c r="C202">
        <v>13.6</v>
      </c>
    </row>
    <row r="203" spans="1:3" x14ac:dyDescent="0.2">
      <c r="A203" t="s">
        <v>3</v>
      </c>
      <c r="B203">
        <v>1960</v>
      </c>
      <c r="C203">
        <v>13.6</v>
      </c>
    </row>
    <row r="204" spans="1:3" x14ac:dyDescent="0.2">
      <c r="A204" t="s">
        <v>3</v>
      </c>
      <c r="B204">
        <v>1976</v>
      </c>
      <c r="C204">
        <v>13.6</v>
      </c>
    </row>
    <row r="205" spans="1:3" x14ac:dyDescent="0.2">
      <c r="A205" t="s">
        <v>3</v>
      </c>
      <c r="B205">
        <v>2018</v>
      </c>
      <c r="C205">
        <v>13.59</v>
      </c>
    </row>
    <row r="206" spans="1:3" x14ac:dyDescent="0.2">
      <c r="A206" t="s">
        <v>3</v>
      </c>
      <c r="B206">
        <v>2083</v>
      </c>
      <c r="C206">
        <v>13.59</v>
      </c>
    </row>
    <row r="207" spans="1:3" x14ac:dyDescent="0.2">
      <c r="A207" t="s">
        <v>3</v>
      </c>
      <c r="B207">
        <v>2146</v>
      </c>
      <c r="C207">
        <v>13.59</v>
      </c>
    </row>
    <row r="208" spans="1:3" x14ac:dyDescent="0.2">
      <c r="A208" t="s">
        <v>3</v>
      </c>
      <c r="B208">
        <v>2176</v>
      </c>
      <c r="C208">
        <v>13.58</v>
      </c>
    </row>
    <row r="209" spans="1:3" x14ac:dyDescent="0.2">
      <c r="A209" t="s">
        <v>3</v>
      </c>
      <c r="B209">
        <v>2206</v>
      </c>
      <c r="C209">
        <v>13.58</v>
      </c>
    </row>
    <row r="210" spans="1:3" x14ac:dyDescent="0.2">
      <c r="A210" t="s">
        <v>3</v>
      </c>
      <c r="B210">
        <v>2221</v>
      </c>
      <c r="C210">
        <v>13.58</v>
      </c>
    </row>
    <row r="211" spans="1:3" x14ac:dyDescent="0.2">
      <c r="A211" t="s">
        <v>3</v>
      </c>
      <c r="B211">
        <v>2267</v>
      </c>
      <c r="C211">
        <v>13.58</v>
      </c>
    </row>
    <row r="212" spans="1:3" x14ac:dyDescent="0.2">
      <c r="A212" t="s">
        <v>3</v>
      </c>
      <c r="B212">
        <v>2332</v>
      </c>
      <c r="C212">
        <v>13.58</v>
      </c>
    </row>
    <row r="213" spans="1:3" x14ac:dyDescent="0.2">
      <c r="A213" t="s">
        <v>3</v>
      </c>
      <c r="B213">
        <v>2395</v>
      </c>
      <c r="C213">
        <v>13.57</v>
      </c>
    </row>
    <row r="214" spans="1:3" x14ac:dyDescent="0.2">
      <c r="A214" t="s">
        <v>3</v>
      </c>
      <c r="B214">
        <v>2425</v>
      </c>
      <c r="C214">
        <v>13.57</v>
      </c>
    </row>
    <row r="215" spans="1:3" x14ac:dyDescent="0.2">
      <c r="A215" t="s">
        <v>3</v>
      </c>
      <c r="B215">
        <v>2457</v>
      </c>
      <c r="C215">
        <v>13.57</v>
      </c>
    </row>
    <row r="216" spans="1:3" x14ac:dyDescent="0.2">
      <c r="A216" t="s">
        <v>3</v>
      </c>
      <c r="B216">
        <v>2466</v>
      </c>
      <c r="C216">
        <v>13.57</v>
      </c>
    </row>
    <row r="217" spans="1:3" x14ac:dyDescent="0.2">
      <c r="A217" t="s">
        <v>3</v>
      </c>
      <c r="B217">
        <v>2516</v>
      </c>
      <c r="C217">
        <v>13.58</v>
      </c>
    </row>
    <row r="218" spans="1:3" x14ac:dyDescent="0.2">
      <c r="A218" t="s">
        <v>3</v>
      </c>
      <c r="B218">
        <v>2581</v>
      </c>
      <c r="C218">
        <v>13.58</v>
      </c>
    </row>
    <row r="219" spans="1:3" x14ac:dyDescent="0.2">
      <c r="A219" t="s">
        <v>3</v>
      </c>
      <c r="B219">
        <v>2647</v>
      </c>
      <c r="C219">
        <v>13.59</v>
      </c>
    </row>
    <row r="220" spans="1:3" x14ac:dyDescent="0.2">
      <c r="A220" t="s">
        <v>3</v>
      </c>
      <c r="B220">
        <v>2678</v>
      </c>
      <c r="C220">
        <v>13.59</v>
      </c>
    </row>
    <row r="221" spans="1:3" x14ac:dyDescent="0.2">
      <c r="A221" t="s">
        <v>3</v>
      </c>
      <c r="B221">
        <v>2709</v>
      </c>
      <c r="C221">
        <v>13.59</v>
      </c>
    </row>
    <row r="222" spans="1:3" x14ac:dyDescent="0.2">
      <c r="A222" t="s">
        <v>3</v>
      </c>
      <c r="B222">
        <v>2714</v>
      </c>
      <c r="C222">
        <v>13.59</v>
      </c>
    </row>
    <row r="223" spans="1:3" x14ac:dyDescent="0.2">
      <c r="A223" t="s">
        <v>3</v>
      </c>
      <c r="B223">
        <v>2768</v>
      </c>
      <c r="C223">
        <v>13.58</v>
      </c>
    </row>
    <row r="224" spans="1:3" x14ac:dyDescent="0.2">
      <c r="A224" t="s">
        <v>3</v>
      </c>
      <c r="B224">
        <v>2833</v>
      </c>
      <c r="C224">
        <v>13.58</v>
      </c>
    </row>
    <row r="225" spans="1:3" x14ac:dyDescent="0.2">
      <c r="A225" t="s">
        <v>3</v>
      </c>
      <c r="B225">
        <v>2895</v>
      </c>
      <c r="C225">
        <v>13.58</v>
      </c>
    </row>
    <row r="226" spans="1:3" x14ac:dyDescent="0.2">
      <c r="A226" t="s">
        <v>3</v>
      </c>
      <c r="B226">
        <v>2927</v>
      </c>
      <c r="C226">
        <v>13.57</v>
      </c>
    </row>
    <row r="227" spans="1:3" x14ac:dyDescent="0.2">
      <c r="A227" t="s">
        <v>3</v>
      </c>
      <c r="B227">
        <v>2957</v>
      </c>
      <c r="C227">
        <v>13.57</v>
      </c>
    </row>
    <row r="228" spans="1:3" x14ac:dyDescent="0.2">
      <c r="A228" t="s">
        <v>3</v>
      </c>
      <c r="B228">
        <v>2962</v>
      </c>
      <c r="C228">
        <v>13.57</v>
      </c>
    </row>
    <row r="229" spans="1:3" x14ac:dyDescent="0.2">
      <c r="A229" t="s">
        <v>3</v>
      </c>
      <c r="B229">
        <v>3018</v>
      </c>
      <c r="C229">
        <v>13.57</v>
      </c>
    </row>
    <row r="230" spans="1:3" x14ac:dyDescent="0.2">
      <c r="A230" t="s">
        <v>3</v>
      </c>
      <c r="B230">
        <v>3082</v>
      </c>
      <c r="C230">
        <v>13.56</v>
      </c>
    </row>
    <row r="231" spans="1:3" x14ac:dyDescent="0.2">
      <c r="A231" t="s">
        <v>3</v>
      </c>
      <c r="B231">
        <v>3144</v>
      </c>
      <c r="C231">
        <v>13.56</v>
      </c>
    </row>
    <row r="232" spans="1:3" x14ac:dyDescent="0.2">
      <c r="A232" t="s">
        <v>3</v>
      </c>
      <c r="B232">
        <v>3178</v>
      </c>
      <c r="C232">
        <v>13.56</v>
      </c>
    </row>
    <row r="233" spans="1:3" x14ac:dyDescent="0.2">
      <c r="A233" t="s">
        <v>3</v>
      </c>
      <c r="B233">
        <v>3209</v>
      </c>
      <c r="C233">
        <v>13.55</v>
      </c>
    </row>
    <row r="234" spans="1:3" x14ac:dyDescent="0.2">
      <c r="A234" t="s">
        <v>3</v>
      </c>
      <c r="B234">
        <v>3269</v>
      </c>
      <c r="C234">
        <v>13.55</v>
      </c>
    </row>
    <row r="235" spans="1:3" x14ac:dyDescent="0.2">
      <c r="A235" t="s">
        <v>3</v>
      </c>
      <c r="B235">
        <v>3333</v>
      </c>
      <c r="C235">
        <v>13.55</v>
      </c>
    </row>
    <row r="236" spans="1:3" x14ac:dyDescent="0.2">
      <c r="A236" t="s">
        <v>3</v>
      </c>
      <c r="B236">
        <v>3396</v>
      </c>
      <c r="C236">
        <v>13.54</v>
      </c>
    </row>
    <row r="237" spans="1:3" x14ac:dyDescent="0.2">
      <c r="A237" t="s">
        <v>3</v>
      </c>
      <c r="B237">
        <v>3429</v>
      </c>
      <c r="C237">
        <v>13.54</v>
      </c>
    </row>
    <row r="238" spans="1:3" x14ac:dyDescent="0.2">
      <c r="A238" t="s">
        <v>3</v>
      </c>
      <c r="B238">
        <v>3458</v>
      </c>
      <c r="C238">
        <v>13.54</v>
      </c>
    </row>
    <row r="239" spans="1:3" x14ac:dyDescent="0.2">
      <c r="A239" t="s">
        <v>3</v>
      </c>
      <c r="B239">
        <v>3459</v>
      </c>
      <c r="C239">
        <v>13.54</v>
      </c>
    </row>
    <row r="240" spans="1:3" x14ac:dyDescent="0.2">
      <c r="A240" t="s">
        <v>3</v>
      </c>
      <c r="B240">
        <v>3521</v>
      </c>
      <c r="C240">
        <v>13.54</v>
      </c>
    </row>
    <row r="241" spans="1:3" x14ac:dyDescent="0.2">
      <c r="A241" t="s">
        <v>3</v>
      </c>
      <c r="B241">
        <v>3586</v>
      </c>
      <c r="C241">
        <v>13.54</v>
      </c>
    </row>
    <row r="242" spans="1:3" x14ac:dyDescent="0.2">
      <c r="A242" t="s">
        <v>3</v>
      </c>
      <c r="B242">
        <v>3649</v>
      </c>
      <c r="C242">
        <v>13.55</v>
      </c>
    </row>
    <row r="243" spans="1:3" x14ac:dyDescent="0.2">
      <c r="A243" t="s">
        <v>3</v>
      </c>
      <c r="B243">
        <v>3679</v>
      </c>
      <c r="C243">
        <v>13.55</v>
      </c>
    </row>
    <row r="244" spans="1:3" x14ac:dyDescent="0.2">
      <c r="A244" t="s">
        <v>3</v>
      </c>
      <c r="B244">
        <v>3702</v>
      </c>
      <c r="C244">
        <v>13.55</v>
      </c>
    </row>
    <row r="245" spans="1:3" x14ac:dyDescent="0.2">
      <c r="A245" t="s">
        <v>3</v>
      </c>
      <c r="B245">
        <v>3711</v>
      </c>
      <c r="C245">
        <v>13.55</v>
      </c>
    </row>
    <row r="246" spans="1:3" x14ac:dyDescent="0.2">
      <c r="A246" t="s">
        <v>3</v>
      </c>
      <c r="B246">
        <v>3770</v>
      </c>
      <c r="C246">
        <v>13.55</v>
      </c>
    </row>
    <row r="247" spans="1:3" x14ac:dyDescent="0.2">
      <c r="A247" t="s">
        <v>3</v>
      </c>
      <c r="B247">
        <v>3827</v>
      </c>
      <c r="C247">
        <v>13.55</v>
      </c>
    </row>
    <row r="248" spans="1:3" x14ac:dyDescent="0.2">
      <c r="A248" t="s">
        <v>3</v>
      </c>
      <c r="B248">
        <v>3835</v>
      </c>
      <c r="C248">
        <v>13.55</v>
      </c>
    </row>
    <row r="249" spans="1:3" x14ac:dyDescent="0.2">
      <c r="A249" t="s">
        <v>3</v>
      </c>
      <c r="B249">
        <v>3901</v>
      </c>
      <c r="C249">
        <v>13.55</v>
      </c>
    </row>
    <row r="250" spans="1:3" x14ac:dyDescent="0.2">
      <c r="A250" t="s">
        <v>3</v>
      </c>
      <c r="B250">
        <v>3963</v>
      </c>
      <c r="C250">
        <v>13.55</v>
      </c>
    </row>
    <row r="251" spans="1:3" x14ac:dyDescent="0.2">
      <c r="A251" t="s">
        <v>3</v>
      </c>
      <c r="B251">
        <v>4021</v>
      </c>
      <c r="C251">
        <v>13.55</v>
      </c>
    </row>
    <row r="252" spans="1:3" x14ac:dyDescent="0.2">
      <c r="A252" t="s">
        <v>3</v>
      </c>
      <c r="B252">
        <v>4086</v>
      </c>
      <c r="C252">
        <v>13.56</v>
      </c>
    </row>
    <row r="253" spans="1:3" x14ac:dyDescent="0.2">
      <c r="A253" t="s">
        <v>3</v>
      </c>
      <c r="B253">
        <v>4152</v>
      </c>
      <c r="C253">
        <v>13.56</v>
      </c>
    </row>
    <row r="254" spans="1:3" x14ac:dyDescent="0.2">
      <c r="A254" t="s">
        <v>3</v>
      </c>
      <c r="B254">
        <v>4212</v>
      </c>
      <c r="C254">
        <v>13.56</v>
      </c>
    </row>
    <row r="255" spans="1:3" x14ac:dyDescent="0.2">
      <c r="A255" t="s">
        <v>3</v>
      </c>
      <c r="B255">
        <v>4273</v>
      </c>
      <c r="C255">
        <v>13.56</v>
      </c>
    </row>
    <row r="256" spans="1:3" x14ac:dyDescent="0.2">
      <c r="A256" t="s">
        <v>3</v>
      </c>
      <c r="B256">
        <v>4338</v>
      </c>
      <c r="C256">
        <v>13.56</v>
      </c>
    </row>
    <row r="257" spans="1:3" x14ac:dyDescent="0.2">
      <c r="A257" t="s">
        <v>3</v>
      </c>
      <c r="B257">
        <v>4400</v>
      </c>
      <c r="C257">
        <v>13.56</v>
      </c>
    </row>
    <row r="258" spans="1:3" x14ac:dyDescent="0.2">
      <c r="A258" t="s">
        <v>3</v>
      </c>
      <c r="B258">
        <v>4462</v>
      </c>
      <c r="C258">
        <v>13.56</v>
      </c>
    </row>
    <row r="259" spans="1:3" x14ac:dyDescent="0.2">
      <c r="A259" t="s">
        <v>3</v>
      </c>
      <c r="B259">
        <v>4523</v>
      </c>
      <c r="C259">
        <v>13.56</v>
      </c>
    </row>
    <row r="260" spans="1:3" x14ac:dyDescent="0.2">
      <c r="A260" t="s">
        <v>3</v>
      </c>
      <c r="B260">
        <v>4587</v>
      </c>
      <c r="C260">
        <v>13.57</v>
      </c>
    </row>
    <row r="261" spans="1:3" x14ac:dyDescent="0.2">
      <c r="A261" t="s">
        <v>3</v>
      </c>
      <c r="B261">
        <v>4650</v>
      </c>
      <c r="C261">
        <v>13.57</v>
      </c>
    </row>
    <row r="262" spans="1:3" x14ac:dyDescent="0.2">
      <c r="A262" t="s">
        <v>3</v>
      </c>
      <c r="B262">
        <v>4715</v>
      </c>
      <c r="C262">
        <v>13.57</v>
      </c>
    </row>
    <row r="263" spans="1:3" x14ac:dyDescent="0.2">
      <c r="A263" t="s">
        <v>3</v>
      </c>
      <c r="B263">
        <v>4773</v>
      </c>
      <c r="C263">
        <v>13.57</v>
      </c>
    </row>
    <row r="264" spans="1:3" x14ac:dyDescent="0.2">
      <c r="A264" t="s">
        <v>3</v>
      </c>
      <c r="B264">
        <v>4838</v>
      </c>
      <c r="C264">
        <v>13.57</v>
      </c>
    </row>
    <row r="265" spans="1:3" x14ac:dyDescent="0.2">
      <c r="A265" t="s">
        <v>3</v>
      </c>
      <c r="B265">
        <v>4936</v>
      </c>
      <c r="C265">
        <v>13.57</v>
      </c>
    </row>
    <row r="266" spans="1:3" x14ac:dyDescent="0.2">
      <c r="A266" t="s">
        <v>3</v>
      </c>
      <c r="B266">
        <v>4961</v>
      </c>
      <c r="C266">
        <v>13.57</v>
      </c>
    </row>
    <row r="267" spans="1:3" x14ac:dyDescent="0.2">
      <c r="A267" t="s">
        <v>3</v>
      </c>
      <c r="B267">
        <v>5087</v>
      </c>
      <c r="C267">
        <v>13.57</v>
      </c>
    </row>
    <row r="268" spans="1:3" x14ac:dyDescent="0.2">
      <c r="A268" t="s">
        <v>3</v>
      </c>
      <c r="B268">
        <v>5212</v>
      </c>
      <c r="C268">
        <v>13.57</v>
      </c>
    </row>
    <row r="269" spans="1:3" x14ac:dyDescent="0.2">
      <c r="A269" t="s">
        <v>3</v>
      </c>
      <c r="B269">
        <v>5336</v>
      </c>
      <c r="C269">
        <v>13.58</v>
      </c>
    </row>
    <row r="270" spans="1:3" x14ac:dyDescent="0.2">
      <c r="A270" t="s">
        <v>3</v>
      </c>
      <c r="B270">
        <v>5464</v>
      </c>
      <c r="C270">
        <v>13.58</v>
      </c>
    </row>
    <row r="271" spans="1:3" x14ac:dyDescent="0.2">
      <c r="A271" t="s">
        <v>3</v>
      </c>
      <c r="B271">
        <v>5588</v>
      </c>
      <c r="C271">
        <v>13.58</v>
      </c>
    </row>
    <row r="272" spans="1:3" x14ac:dyDescent="0.2">
      <c r="A272" t="s">
        <v>3</v>
      </c>
      <c r="B272">
        <v>5712</v>
      </c>
      <c r="C272">
        <v>13.58</v>
      </c>
    </row>
    <row r="273" spans="1:3" x14ac:dyDescent="0.2">
      <c r="A273" t="s">
        <v>3</v>
      </c>
      <c r="B273">
        <v>5837</v>
      </c>
      <c r="C273">
        <v>13.58</v>
      </c>
    </row>
    <row r="274" spans="1:3" x14ac:dyDescent="0.2">
      <c r="A274" t="s">
        <v>3</v>
      </c>
      <c r="B274">
        <v>5964</v>
      </c>
      <c r="C274">
        <v>13.58</v>
      </c>
    </row>
    <row r="275" spans="1:3" x14ac:dyDescent="0.2">
      <c r="A275" t="s">
        <v>3</v>
      </c>
      <c r="B275">
        <v>6088</v>
      </c>
      <c r="C275">
        <v>13.58</v>
      </c>
    </row>
    <row r="276" spans="1:3" x14ac:dyDescent="0.2">
      <c r="A276" t="s">
        <v>3</v>
      </c>
      <c r="B276">
        <v>6171</v>
      </c>
      <c r="C276">
        <v>13.59</v>
      </c>
    </row>
    <row r="277" spans="1:3" x14ac:dyDescent="0.2">
      <c r="A277" t="s">
        <v>3</v>
      </c>
      <c r="B277">
        <v>7277</v>
      </c>
      <c r="C277">
        <v>13.59</v>
      </c>
    </row>
    <row r="278" spans="1:3" x14ac:dyDescent="0.2">
      <c r="A278" t="s">
        <v>3</v>
      </c>
      <c r="B278">
        <v>7405</v>
      </c>
      <c r="C278">
        <v>13.59</v>
      </c>
    </row>
    <row r="279" spans="1:3" x14ac:dyDescent="0.2">
      <c r="A279" t="s">
        <v>3</v>
      </c>
      <c r="B279">
        <v>8594</v>
      </c>
      <c r="C279">
        <v>13.6</v>
      </c>
    </row>
  </sheetData>
  <mergeCells count="11">
    <mergeCell ref="F80:U80"/>
    <mergeCell ref="F76:U76"/>
    <mergeCell ref="F77:U77"/>
    <mergeCell ref="F78:U78"/>
    <mergeCell ref="F79:U79"/>
    <mergeCell ref="Q8:AF8"/>
    <mergeCell ref="Q9:AF9"/>
    <mergeCell ref="Q10:AF10"/>
    <mergeCell ref="Q11:AF11"/>
    <mergeCell ref="Q12:AF12"/>
    <mergeCell ref="E40:J40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Malucelli</dc:creator>
  <cp:lastModifiedBy>Arthur Malucelli</cp:lastModifiedBy>
  <dcterms:created xsi:type="dcterms:W3CDTF">2026-04-27T13:41:10Z</dcterms:created>
  <dcterms:modified xsi:type="dcterms:W3CDTF">2026-04-27T14:14:44Z</dcterms:modified>
</cp:coreProperties>
</file>