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hurmalucelli/FGV/"/>
    </mc:Choice>
  </mc:AlternateContent>
  <xr:revisionPtr revIDLastSave="0" documentId="8_{1ED05C72-8AD8-2841-BB5E-93ABBA53B6D8}" xr6:coauthVersionLast="47" xr6:coauthVersionMax="47" xr10:uidLastSave="{00000000-0000-0000-0000-000000000000}"/>
  <bookViews>
    <workbookView xWindow="0" yWindow="660" windowWidth="30240" windowHeight="18980" xr2:uid="{5203F6C0-AC1A-664F-9929-E2AF1CAAA1A8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6" i="1" l="1"/>
  <c r="C92" i="1"/>
  <c r="C93" i="1" s="1"/>
  <c r="C94" i="1" s="1"/>
  <c r="C96" i="1" s="1"/>
  <c r="D89" i="1"/>
  <c r="E89" i="1" s="1"/>
  <c r="F89" i="1" s="1"/>
  <c r="G89" i="1" s="1"/>
  <c r="H85" i="1"/>
  <c r="F65" i="1"/>
  <c r="D62" i="1" l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61" i="1"/>
  <c r="C68" i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D55" i="1"/>
  <c r="D58" i="1" s="1"/>
  <c r="C51" i="1"/>
  <c r="C47" i="1"/>
  <c r="C48" i="1" s="1"/>
  <c r="F47" i="1" s="1"/>
  <c r="G43" i="1"/>
  <c r="G41" i="1"/>
  <c r="G38" i="1"/>
  <c r="D36" i="1"/>
  <c r="D39" i="1"/>
  <c r="C32" i="1"/>
  <c r="D30" i="1" s="1"/>
  <c r="D31" i="1" s="1"/>
  <c r="D27" i="1"/>
  <c r="D28" i="1"/>
  <c r="D26" i="1"/>
  <c r="C21" i="1"/>
  <c r="C23" i="1" s="1"/>
  <c r="D20" i="1" s="1"/>
  <c r="D22" i="1" s="1"/>
  <c r="D17" i="1"/>
  <c r="D18" i="1"/>
  <c r="D16" i="1"/>
  <c r="C12" i="1"/>
  <c r="C10" i="1"/>
  <c r="C5" i="1"/>
  <c r="F61" i="1" l="1"/>
  <c r="F62" i="1" s="1"/>
  <c r="F67" i="1" s="1"/>
</calcChain>
</file>

<file path=xl/sharedStrings.xml><?xml version="1.0" encoding="utf-8"?>
<sst xmlns="http://schemas.openxmlformats.org/spreadsheetml/2006/main" count="59" uniqueCount="42">
  <si>
    <t>Lista 4</t>
  </si>
  <si>
    <t>5)</t>
  </si>
  <si>
    <t>a.t</t>
  </si>
  <si>
    <t>1)</t>
  </si>
  <si>
    <t>2)</t>
  </si>
  <si>
    <t>3)</t>
  </si>
  <si>
    <t>4)</t>
  </si>
  <si>
    <t>Taxa</t>
  </si>
  <si>
    <t>a.b</t>
  </si>
  <si>
    <t>a)</t>
  </si>
  <si>
    <t>b)</t>
  </si>
  <si>
    <t>c)</t>
  </si>
  <si>
    <t>a.m</t>
  </si>
  <si>
    <t>Inf</t>
  </si>
  <si>
    <t>6)</t>
  </si>
  <si>
    <t>7)</t>
  </si>
  <si>
    <t>dias</t>
  </si>
  <si>
    <t>Dias</t>
  </si>
  <si>
    <t>Inf1</t>
  </si>
  <si>
    <t>Inf2</t>
  </si>
  <si>
    <t>Real1</t>
  </si>
  <si>
    <t>Real2</t>
  </si>
  <si>
    <t>Acum</t>
  </si>
  <si>
    <t>a.p</t>
  </si>
  <si>
    <t>d)</t>
  </si>
  <si>
    <t>8)</t>
  </si>
  <si>
    <t>Retorno</t>
  </si>
  <si>
    <t>Indice</t>
  </si>
  <si>
    <t>Diff</t>
  </si>
  <si>
    <t>Retorno %</t>
  </si>
  <si>
    <t>Taxa Real</t>
  </si>
  <si>
    <t>9)</t>
  </si>
  <si>
    <t xml:space="preserve"> </t>
  </si>
  <si>
    <t>a.s</t>
  </si>
  <si>
    <t>10)</t>
  </si>
  <si>
    <t>11)</t>
  </si>
  <si>
    <t>Hoje</t>
  </si>
  <si>
    <t>Inf3</t>
  </si>
  <si>
    <t>Inf4</t>
  </si>
  <si>
    <t>12)</t>
  </si>
  <si>
    <t>a.a</t>
  </si>
  <si>
    <t>A.A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</si>
</sst>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  <numFmt numFmtId="165" formatCode="0.000%"/>
    <numFmt numFmtId="167" formatCode="&quot;R$&quot;\ #,##0.00"/>
    <numFmt numFmtId="177" formatCode="&quot;R$&quot;\ #,##0.000000000000;[Red]\-&quot;R$&quot;\ #,##0.000000000000"/>
    <numFmt numFmtId="185" formatCode="0.000000000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164" fontId="0" fillId="0" borderId="0" xfId="2" applyNumberFormat="1" applyFont="1"/>
    <xf numFmtId="10" fontId="0" fillId="0" borderId="0" xfId="2" applyNumberFormat="1" applyFont="1"/>
    <xf numFmtId="165" fontId="0" fillId="0" borderId="0" xfId="2" applyNumberFormat="1" applyFont="1"/>
    <xf numFmtId="165" fontId="0" fillId="2" borderId="0" xfId="2" applyNumberFormat="1" applyFont="1" applyFill="1"/>
    <xf numFmtId="0" fontId="0" fillId="2" borderId="0" xfId="0" applyFill="1"/>
    <xf numFmtId="9" fontId="0" fillId="0" borderId="0" xfId="0" applyNumberFormat="1"/>
    <xf numFmtId="9" fontId="0" fillId="0" borderId="0" xfId="2" applyNumberFormat="1" applyFont="1"/>
    <xf numFmtId="9" fontId="0" fillId="2" borderId="0" xfId="0" applyNumberFormat="1" applyFill="1"/>
    <xf numFmtId="10" fontId="0" fillId="2" borderId="0" xfId="2" applyNumberFormat="1" applyFont="1" applyFill="1"/>
    <xf numFmtId="10" fontId="0" fillId="0" borderId="0" xfId="0" applyNumberFormat="1"/>
    <xf numFmtId="164" fontId="0" fillId="0" borderId="0" xfId="0" applyNumberFormat="1"/>
    <xf numFmtId="10" fontId="0" fillId="2" borderId="0" xfId="0" applyNumberFormat="1" applyFill="1"/>
    <xf numFmtId="2" fontId="0" fillId="0" borderId="0" xfId="0" applyNumberFormat="1"/>
    <xf numFmtId="167" fontId="0" fillId="0" borderId="0" xfId="0" applyNumberFormat="1"/>
    <xf numFmtId="0" fontId="0" fillId="0" borderId="0" xfId="0" applyNumberFormat="1"/>
    <xf numFmtId="167" fontId="0" fillId="2" borderId="0" xfId="0" applyNumberFormat="1" applyFill="1"/>
    <xf numFmtId="44" fontId="0" fillId="0" borderId="0" xfId="1" applyFont="1"/>
    <xf numFmtId="44" fontId="0" fillId="0" borderId="0" xfId="0" applyNumberFormat="1"/>
    <xf numFmtId="8" fontId="0" fillId="0" borderId="0" xfId="0" applyNumberFormat="1"/>
    <xf numFmtId="4" fontId="0" fillId="0" borderId="0" xfId="0" applyNumberFormat="1"/>
    <xf numFmtId="4" fontId="0" fillId="0" borderId="0" xfId="0" applyNumberFormat="1" applyBorder="1"/>
    <xf numFmtId="4" fontId="0" fillId="0" borderId="0" xfId="2" applyNumberFormat="1" applyFont="1"/>
    <xf numFmtId="185" fontId="0" fillId="0" borderId="0" xfId="0" applyNumberFormat="1"/>
    <xf numFmtId="177" fontId="0" fillId="2" borderId="0" xfId="0" applyNumberFormat="1" applyFill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E2E1-60B2-5342-B784-2B420EAF4595}">
  <dimension ref="B2:H96"/>
  <sheetViews>
    <sheetView tabSelected="1" zoomScale="165" workbookViewId="0">
      <selection activeCell="E97" sqref="E97"/>
    </sheetView>
  </sheetViews>
  <sheetFormatPr baseColWidth="10" defaultRowHeight="16" x14ac:dyDescent="0.2"/>
  <cols>
    <col min="3" max="3" width="13" bestFit="1" customWidth="1"/>
    <col min="4" max="4" width="13.33203125" bestFit="1" customWidth="1"/>
    <col min="5" max="6" width="12.6640625" bestFit="1" customWidth="1"/>
    <col min="7" max="7" width="23" bestFit="1" customWidth="1"/>
  </cols>
  <sheetData>
    <row r="2" spans="2:5" x14ac:dyDescent="0.2">
      <c r="B2" t="s">
        <v>0</v>
      </c>
    </row>
    <row r="5" spans="2:5" x14ac:dyDescent="0.2">
      <c r="B5" t="s">
        <v>3</v>
      </c>
      <c r="C5" s="4">
        <f>(1+1.6%)*(1+0.76%)*(1+0.92%)-1</f>
        <v>3.3139838720000148E-2</v>
      </c>
      <c r="D5" s="5" t="s">
        <v>2</v>
      </c>
    </row>
    <row r="8" spans="2:5" x14ac:dyDescent="0.2">
      <c r="B8" t="s">
        <v>4</v>
      </c>
      <c r="C8" s="6">
        <v>0.08</v>
      </c>
    </row>
    <row r="9" spans="2:5" x14ac:dyDescent="0.2">
      <c r="C9" s="8">
        <v>1.8518518518518368E-2</v>
      </c>
    </row>
    <row r="10" spans="2:5" x14ac:dyDescent="0.2">
      <c r="C10" s="7">
        <f>(1+C8)*(1+C9)-1</f>
        <v>9.9999999999999867E-2</v>
      </c>
    </row>
    <row r="12" spans="2:5" x14ac:dyDescent="0.2">
      <c r="B12" t="s">
        <v>5</v>
      </c>
      <c r="C12" s="9">
        <f>((1-5%)^4)-1</f>
        <v>-0.18549375000000001</v>
      </c>
    </row>
    <row r="15" spans="2:5" x14ac:dyDescent="0.2">
      <c r="B15" t="s">
        <v>6</v>
      </c>
      <c r="C15" t="s">
        <v>7</v>
      </c>
      <c r="D15" s="10">
        <v>4.2000000000000003E-2</v>
      </c>
      <c r="E15" t="s">
        <v>8</v>
      </c>
    </row>
    <row r="16" spans="2:5" x14ac:dyDescent="0.2">
      <c r="B16" t="s">
        <v>9</v>
      </c>
      <c r="C16" s="11">
        <v>0.03</v>
      </c>
      <c r="D16" s="12">
        <f>(1+$D$15)/(1+C16)-1</f>
        <v>1.1650485436893288E-2</v>
      </c>
    </row>
    <row r="17" spans="2:6" x14ac:dyDescent="0.2">
      <c r="B17" t="s">
        <v>10</v>
      </c>
      <c r="C17" s="11">
        <v>0.04</v>
      </c>
      <c r="D17" s="12">
        <f t="shared" ref="D17:D18" si="0">(1+$D$15)/(1+C17)-1</f>
        <v>1.9230769230769162E-3</v>
      </c>
    </row>
    <row r="18" spans="2:6" x14ac:dyDescent="0.2">
      <c r="B18" t="s">
        <v>11</v>
      </c>
      <c r="C18" s="11">
        <v>0.05</v>
      </c>
      <c r="D18" s="12">
        <f t="shared" si="0"/>
        <v>-7.6190476190476364E-3</v>
      </c>
    </row>
    <row r="20" spans="2:6" x14ac:dyDescent="0.2">
      <c r="B20" t="s">
        <v>1</v>
      </c>
      <c r="C20" s="14">
        <v>10000</v>
      </c>
      <c r="D20" s="2">
        <f>C23/C20</f>
        <v>0.02</v>
      </c>
      <c r="E20" t="s">
        <v>12</v>
      </c>
    </row>
    <row r="21" spans="2:6" x14ac:dyDescent="0.2">
      <c r="C21" s="14">
        <f>C20+200</f>
        <v>10200</v>
      </c>
      <c r="D21" s="10">
        <v>1.2E-2</v>
      </c>
      <c r="E21" t="s">
        <v>13</v>
      </c>
    </row>
    <row r="22" spans="2:6" x14ac:dyDescent="0.2">
      <c r="D22" s="12">
        <f>(1+D20)/(1+D21)-1</f>
        <v>7.905138339920903E-3</v>
      </c>
    </row>
    <row r="23" spans="2:6" x14ac:dyDescent="0.2">
      <c r="C23" s="14">
        <f>C21-C20</f>
        <v>200</v>
      </c>
    </row>
    <row r="25" spans="2:6" x14ac:dyDescent="0.2">
      <c r="B25" t="s">
        <v>14</v>
      </c>
      <c r="C25" s="6">
        <v>0.02</v>
      </c>
      <c r="D25" t="s">
        <v>12</v>
      </c>
    </row>
    <row r="26" spans="2:6" x14ac:dyDescent="0.2">
      <c r="B26" t="s">
        <v>9</v>
      </c>
      <c r="C26" s="10">
        <v>4.0000000000000001E-3</v>
      </c>
      <c r="D26" s="12">
        <f>(1+C25)*(1+C26)-1</f>
        <v>2.4080000000000101E-2</v>
      </c>
    </row>
    <row r="27" spans="2:6" x14ac:dyDescent="0.2">
      <c r="B27" t="s">
        <v>10</v>
      </c>
      <c r="C27" s="10">
        <v>8.0000000000000002E-3</v>
      </c>
      <c r="D27" s="12">
        <f t="shared" ref="D27:D28" si="1">(1+C26)*(1+C27)-1</f>
        <v>1.2032000000000043E-2</v>
      </c>
    </row>
    <row r="28" spans="2:6" x14ac:dyDescent="0.2">
      <c r="B28" t="s">
        <v>11</v>
      </c>
      <c r="C28" s="10">
        <v>1.4999999999999999E-2</v>
      </c>
      <c r="D28" s="12">
        <f t="shared" si="1"/>
        <v>2.3119999999999807E-2</v>
      </c>
    </row>
    <row r="30" spans="2:6" x14ac:dyDescent="0.2">
      <c r="B30" t="s">
        <v>15</v>
      </c>
      <c r="C30" s="14">
        <v>50000</v>
      </c>
      <c r="D30" s="2">
        <f>C32/C30</f>
        <v>3.2000000000000001E-2</v>
      </c>
      <c r="E30" s="15">
        <v>60</v>
      </c>
      <c r="F30" t="s">
        <v>16</v>
      </c>
    </row>
    <row r="31" spans="2:6" x14ac:dyDescent="0.2">
      <c r="C31" s="14">
        <v>51600</v>
      </c>
      <c r="D31" s="2">
        <f>(1+D30)^(1/2)-1</f>
        <v>1.587400793602356E-2</v>
      </c>
      <c r="E31">
        <v>30</v>
      </c>
      <c r="F31" t="s">
        <v>17</v>
      </c>
    </row>
    <row r="32" spans="2:6" x14ac:dyDescent="0.2">
      <c r="C32" s="14">
        <f>C31-C30</f>
        <v>1600</v>
      </c>
    </row>
    <row r="34" spans="2:8" x14ac:dyDescent="0.2">
      <c r="C34" t="s">
        <v>18</v>
      </c>
      <c r="D34" s="10">
        <v>8.0000000000000002E-3</v>
      </c>
      <c r="E34" s="10"/>
      <c r="F34" t="s">
        <v>9</v>
      </c>
      <c r="G34" s="9">
        <v>3.2000000000000001E-2</v>
      </c>
      <c r="H34" s="5" t="s">
        <v>23</v>
      </c>
    </row>
    <row r="35" spans="2:8" x14ac:dyDescent="0.2">
      <c r="C35" t="s">
        <v>19</v>
      </c>
      <c r="D35" s="10">
        <v>8.9999999999999993E-3</v>
      </c>
      <c r="E35" s="10"/>
      <c r="G35" s="9">
        <v>1.587400793602356E-2</v>
      </c>
      <c r="H35" s="5" t="s">
        <v>12</v>
      </c>
    </row>
    <row r="36" spans="2:8" x14ac:dyDescent="0.2">
      <c r="C36" t="s">
        <v>22</v>
      </c>
      <c r="D36" s="10">
        <f>(1+D34)*(1+D35)-1</f>
        <v>1.7071999999999976E-2</v>
      </c>
    </row>
    <row r="37" spans="2:8" x14ac:dyDescent="0.2">
      <c r="C37" t="s">
        <v>20</v>
      </c>
      <c r="D37" s="2">
        <v>7.8115158095470871E-3</v>
      </c>
      <c r="F37" t="s">
        <v>10</v>
      </c>
      <c r="G37" s="9">
        <v>1.7071999999999976E-2</v>
      </c>
      <c r="H37" s="5" t="s">
        <v>23</v>
      </c>
    </row>
    <row r="38" spans="2:8" x14ac:dyDescent="0.2">
      <c r="C38" t="s">
        <v>21</v>
      </c>
      <c r="D38" s="2">
        <v>6.8126936927885851E-3</v>
      </c>
      <c r="G38" s="9">
        <f>G37/2</f>
        <v>8.535999999999988E-3</v>
      </c>
      <c r="H38" s="5" t="s">
        <v>12</v>
      </c>
    </row>
    <row r="39" spans="2:8" x14ac:dyDescent="0.2">
      <c r="C39" t="s">
        <v>22</v>
      </c>
      <c r="D39" s="10">
        <f>(1+D37)*(1+D38)-1</f>
        <v>1.4677426966822393E-2</v>
      </c>
    </row>
    <row r="40" spans="2:8" x14ac:dyDescent="0.2">
      <c r="F40" t="s">
        <v>11</v>
      </c>
      <c r="G40" s="9">
        <v>1.4677426966822393E-2</v>
      </c>
      <c r="H40" s="5"/>
    </row>
    <row r="41" spans="2:8" x14ac:dyDescent="0.2">
      <c r="G41" s="9">
        <f>(1+G40)^(1/2)-1</f>
        <v>7.3119809506994038E-3</v>
      </c>
      <c r="H41" s="5"/>
    </row>
    <row r="43" spans="2:8" x14ac:dyDescent="0.2">
      <c r="F43" t="s">
        <v>24</v>
      </c>
      <c r="G43" s="16">
        <f>50000-(C30*(1+D39))</f>
        <v>-733.8713483411193</v>
      </c>
    </row>
    <row r="44" spans="2:8" x14ac:dyDescent="0.2">
      <c r="C44" t="s">
        <v>32</v>
      </c>
      <c r="G44" s="14"/>
    </row>
    <row r="45" spans="2:8" x14ac:dyDescent="0.2">
      <c r="B45" t="s">
        <v>25</v>
      </c>
      <c r="C45" s="17">
        <v>30000</v>
      </c>
      <c r="G45" s="14"/>
    </row>
    <row r="46" spans="2:8" x14ac:dyDescent="0.2">
      <c r="C46" s="17">
        <v>36000</v>
      </c>
    </row>
    <row r="47" spans="2:8" x14ac:dyDescent="0.2">
      <c r="B47" t="s">
        <v>26</v>
      </c>
      <c r="C47" s="18">
        <f>C46-C45</f>
        <v>6000</v>
      </c>
      <c r="E47" s="5" t="s">
        <v>30</v>
      </c>
      <c r="F47" s="12">
        <f>(1+C48)/(1+C51)-1</f>
        <v>5.2613612118625808E-2</v>
      </c>
    </row>
    <row r="48" spans="2:8" x14ac:dyDescent="0.2">
      <c r="B48" t="s">
        <v>29</v>
      </c>
      <c r="C48" s="1">
        <f>C47/C45</f>
        <v>0.2</v>
      </c>
    </row>
    <row r="49" spans="2:7" x14ac:dyDescent="0.2">
      <c r="B49" t="s">
        <v>27</v>
      </c>
      <c r="C49">
        <v>123.34</v>
      </c>
    </row>
    <row r="50" spans="2:7" x14ac:dyDescent="0.2">
      <c r="C50" s="13">
        <v>140.61000000000001</v>
      </c>
    </row>
    <row r="51" spans="2:7" x14ac:dyDescent="0.2">
      <c r="B51" t="s">
        <v>28</v>
      </c>
      <c r="C51" s="2">
        <f>(C50-C49)/C49</f>
        <v>0.14001945840765373</v>
      </c>
    </row>
    <row r="53" spans="2:7" x14ac:dyDescent="0.2">
      <c r="B53" t="s">
        <v>31</v>
      </c>
      <c r="C53" s="21">
        <v>0</v>
      </c>
      <c r="D53" s="19">
        <v>70000</v>
      </c>
    </row>
    <row r="54" spans="2:7" x14ac:dyDescent="0.2">
      <c r="C54" s="21">
        <v>6</v>
      </c>
      <c r="D54" s="19">
        <v>35000</v>
      </c>
    </row>
    <row r="55" spans="2:7" x14ac:dyDescent="0.2">
      <c r="C55" t="s">
        <v>33</v>
      </c>
      <c r="D55" s="2">
        <f>(D54-D53)/D53</f>
        <v>-0.5</v>
      </c>
    </row>
    <row r="57" spans="2:7" x14ac:dyDescent="0.2">
      <c r="C57" t="s">
        <v>13</v>
      </c>
      <c r="D57" s="6">
        <v>0.08</v>
      </c>
    </row>
    <row r="58" spans="2:7" x14ac:dyDescent="0.2">
      <c r="D58" s="12">
        <f>(1+D55)/(1+D57)-1</f>
        <v>-0.53703703703703709</v>
      </c>
    </row>
    <row r="59" spans="2:7" x14ac:dyDescent="0.2">
      <c r="D59" s="10"/>
    </row>
    <row r="60" spans="2:7" x14ac:dyDescent="0.2">
      <c r="B60" t="s">
        <v>34</v>
      </c>
      <c r="C60">
        <v>0</v>
      </c>
      <c r="D60" s="19">
        <v>-120000</v>
      </c>
    </row>
    <row r="61" spans="2:7" x14ac:dyDescent="0.2">
      <c r="C61">
        <v>1</v>
      </c>
      <c r="D61">
        <f>8700</f>
        <v>8700</v>
      </c>
      <c r="F61" s="10">
        <f>IRR(D60:D79)</f>
        <v>1.8020048811344225E-2</v>
      </c>
      <c r="G61" s="10"/>
    </row>
    <row r="62" spans="2:7" x14ac:dyDescent="0.2">
      <c r="C62">
        <v>2</v>
      </c>
      <c r="D62">
        <f>8700</f>
        <v>8700</v>
      </c>
      <c r="F62" s="10">
        <f>(1+F61)^(12)-1</f>
        <v>0.23901331229659939</v>
      </c>
      <c r="G62" s="10"/>
    </row>
    <row r="63" spans="2:7" x14ac:dyDescent="0.2">
      <c r="C63">
        <v>3</v>
      </c>
      <c r="D63">
        <f>8700</f>
        <v>8700</v>
      </c>
      <c r="F63" s="10"/>
      <c r="G63" s="10"/>
    </row>
    <row r="64" spans="2:7" x14ac:dyDescent="0.2">
      <c r="C64">
        <v>4</v>
      </c>
      <c r="D64">
        <f>8700</f>
        <v>8700</v>
      </c>
      <c r="F64" s="10">
        <v>6.8000000000000005E-2</v>
      </c>
      <c r="G64" s="22"/>
    </row>
    <row r="65" spans="3:6" x14ac:dyDescent="0.2">
      <c r="C65">
        <v>5</v>
      </c>
      <c r="D65">
        <f>8700</f>
        <v>8700</v>
      </c>
      <c r="F65" s="10">
        <f>(1+F64)^(12/20)-1</f>
        <v>4.0262041423116512E-2</v>
      </c>
    </row>
    <row r="66" spans="3:6" x14ac:dyDescent="0.2">
      <c r="C66">
        <v>6</v>
      </c>
      <c r="D66">
        <f>8700</f>
        <v>8700</v>
      </c>
    </row>
    <row r="67" spans="3:6" x14ac:dyDescent="0.2">
      <c r="C67">
        <v>7</v>
      </c>
      <c r="D67">
        <f>8700</f>
        <v>8700</v>
      </c>
      <c r="F67" s="12">
        <f>(1+F62)/(1+F65)-1</f>
        <v>0.19105885148090551</v>
      </c>
    </row>
    <row r="68" spans="3:6" x14ac:dyDescent="0.2">
      <c r="C68">
        <f>C67+1</f>
        <v>8</v>
      </c>
      <c r="D68">
        <f>8700</f>
        <v>8700</v>
      </c>
    </row>
    <row r="69" spans="3:6" x14ac:dyDescent="0.2">
      <c r="C69">
        <f t="shared" ref="C69:C80" si="2">C68+1</f>
        <v>9</v>
      </c>
      <c r="D69">
        <f>8700</f>
        <v>8700</v>
      </c>
    </row>
    <row r="70" spans="3:6" x14ac:dyDescent="0.2">
      <c r="C70">
        <f t="shared" si="2"/>
        <v>10</v>
      </c>
      <c r="D70">
        <f>8700</f>
        <v>8700</v>
      </c>
    </row>
    <row r="71" spans="3:6" x14ac:dyDescent="0.2">
      <c r="C71">
        <f t="shared" si="2"/>
        <v>11</v>
      </c>
      <c r="D71">
        <f>8700</f>
        <v>8700</v>
      </c>
    </row>
    <row r="72" spans="3:6" x14ac:dyDescent="0.2">
      <c r="C72">
        <f t="shared" si="2"/>
        <v>12</v>
      </c>
      <c r="D72">
        <f>8700</f>
        <v>8700</v>
      </c>
    </row>
    <row r="73" spans="3:6" x14ac:dyDescent="0.2">
      <c r="C73">
        <f t="shared" si="2"/>
        <v>13</v>
      </c>
      <c r="D73">
        <f>8700</f>
        <v>8700</v>
      </c>
    </row>
    <row r="74" spans="3:6" x14ac:dyDescent="0.2">
      <c r="C74">
        <f t="shared" si="2"/>
        <v>14</v>
      </c>
      <c r="D74">
        <f>8700</f>
        <v>8700</v>
      </c>
    </row>
    <row r="75" spans="3:6" x14ac:dyDescent="0.2">
      <c r="C75">
        <f t="shared" si="2"/>
        <v>15</v>
      </c>
      <c r="D75">
        <f>8700</f>
        <v>8700</v>
      </c>
    </row>
    <row r="76" spans="3:6" x14ac:dyDescent="0.2">
      <c r="C76">
        <f t="shared" si="2"/>
        <v>16</v>
      </c>
      <c r="D76">
        <f>8700</f>
        <v>8700</v>
      </c>
    </row>
    <row r="77" spans="3:6" x14ac:dyDescent="0.2">
      <c r="C77">
        <f t="shared" si="2"/>
        <v>17</v>
      </c>
      <c r="D77">
        <v>0</v>
      </c>
    </row>
    <row r="78" spans="3:6" x14ac:dyDescent="0.2">
      <c r="C78">
        <f t="shared" si="2"/>
        <v>18</v>
      </c>
      <c r="D78">
        <v>0</v>
      </c>
    </row>
    <row r="79" spans="3:6" x14ac:dyDescent="0.2">
      <c r="C79">
        <f t="shared" si="2"/>
        <v>19</v>
      </c>
      <c r="D79">
        <v>0</v>
      </c>
    </row>
    <row r="80" spans="3:6" x14ac:dyDescent="0.2">
      <c r="C80">
        <f t="shared" si="2"/>
        <v>20</v>
      </c>
      <c r="D80">
        <v>80000</v>
      </c>
    </row>
    <row r="82" spans="2:8" x14ac:dyDescent="0.2">
      <c r="B82" t="s">
        <v>35</v>
      </c>
      <c r="C82" t="s">
        <v>36</v>
      </c>
      <c r="D82" s="19">
        <v>900000</v>
      </c>
    </row>
    <row r="83" spans="2:8" x14ac:dyDescent="0.2">
      <c r="C83" t="s">
        <v>18</v>
      </c>
      <c r="D83" s="10">
        <v>2.4E-2</v>
      </c>
    </row>
    <row r="84" spans="2:8" x14ac:dyDescent="0.2">
      <c r="C84" t="s">
        <v>19</v>
      </c>
      <c r="D84" s="10">
        <v>-1.2E-2</v>
      </c>
      <c r="H84" s="6">
        <v>1</v>
      </c>
    </row>
    <row r="85" spans="2:8" x14ac:dyDescent="0.2">
      <c r="C85" t="s">
        <v>37</v>
      </c>
      <c r="D85" s="10">
        <v>-8.0000000000000002E-3</v>
      </c>
      <c r="H85" s="10">
        <f>H84*(1+D86)</f>
        <v>0.99099999999999999</v>
      </c>
    </row>
    <row r="86" spans="2:8" x14ac:dyDescent="0.2">
      <c r="C86" t="s">
        <v>38</v>
      </c>
      <c r="D86" s="10">
        <v>-8.9999999999999993E-3</v>
      </c>
    </row>
    <row r="87" spans="2:8" x14ac:dyDescent="0.2">
      <c r="D87" s="10"/>
      <c r="E87" s="10"/>
    </row>
    <row r="88" spans="2:8" x14ac:dyDescent="0.2">
      <c r="C88" s="20"/>
      <c r="D88" s="20"/>
      <c r="E88" s="20"/>
      <c r="F88" s="20"/>
      <c r="G88" s="20"/>
    </row>
    <row r="89" spans="2:8" x14ac:dyDescent="0.2">
      <c r="C89">
        <v>900000</v>
      </c>
      <c r="D89">
        <f>C89/(1+D86)</f>
        <v>908173.56205852679</v>
      </c>
      <c r="E89" s="19">
        <f>D89/(1+D85)</f>
        <v>915497.54239770852</v>
      </c>
      <c r="F89" s="19">
        <f>E89/(1+D84)</f>
        <v>926616.9457466685</v>
      </c>
      <c r="G89" s="24">
        <f>F89/(1+D83)</f>
        <v>904899.36108073092</v>
      </c>
    </row>
    <row r="90" spans="2:8" x14ac:dyDescent="0.2">
      <c r="G90" s="23"/>
    </row>
    <row r="91" spans="2:8" x14ac:dyDescent="0.2">
      <c r="B91" t="s">
        <v>39</v>
      </c>
      <c r="C91" s="19">
        <v>230000</v>
      </c>
      <c r="D91">
        <v>0</v>
      </c>
      <c r="E91" s="10"/>
      <c r="G91" s="10">
        <v>8.2199999999999995E-2</v>
      </c>
      <c r="H91" t="s">
        <v>40</v>
      </c>
    </row>
    <row r="92" spans="2:8" x14ac:dyDescent="0.2">
      <c r="C92" s="19">
        <f>C91*(1+$G$91)*(1+E92)</f>
        <v>262098.01799999998</v>
      </c>
      <c r="D92">
        <v>1</v>
      </c>
      <c r="E92" s="10">
        <v>5.2999999999999999E-2</v>
      </c>
      <c r="F92" s="10" t="s">
        <v>41</v>
      </c>
      <c r="H92" t="s">
        <v>23</v>
      </c>
    </row>
    <row r="93" spans="2:8" x14ac:dyDescent="0.2">
      <c r="C93" s="19">
        <f>C92*(1+$G$91)*(1+E93)</f>
        <v>296690.02893326164</v>
      </c>
      <c r="D93">
        <v>2</v>
      </c>
      <c r="E93" s="10">
        <v>4.5999999999999999E-2</v>
      </c>
      <c r="F93" s="10" t="s">
        <v>40</v>
      </c>
      <c r="G93" s="10"/>
    </row>
    <row r="94" spans="2:8" x14ac:dyDescent="0.2">
      <c r="C94" s="19">
        <f>C93*(1+$G$91)*(1+E94)</f>
        <v>331031.36574023456</v>
      </c>
      <c r="D94">
        <v>3</v>
      </c>
      <c r="E94" s="10">
        <v>3.1E-2</v>
      </c>
      <c r="F94" s="10" t="s">
        <v>40</v>
      </c>
    </row>
    <row r="95" spans="2:8" x14ac:dyDescent="0.2">
      <c r="E95" s="10"/>
      <c r="F95" s="10"/>
    </row>
    <row r="96" spans="2:8" x14ac:dyDescent="0.2">
      <c r="C96" s="3">
        <f>(C94-C91)/C91</f>
        <v>0.43926680756623721</v>
      </c>
      <c r="E96" s="6">
        <f>(1+G91)^3-1</f>
        <v>0.26742593224800015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Malucelli</dc:creator>
  <cp:lastModifiedBy>Arthur Malucelli</cp:lastModifiedBy>
  <dcterms:created xsi:type="dcterms:W3CDTF">2026-04-29T00:15:57Z</dcterms:created>
  <dcterms:modified xsi:type="dcterms:W3CDTF">2026-04-29T01:25:19Z</dcterms:modified>
</cp:coreProperties>
</file>